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halgautam/Documents/GradSchool/Projects/Jet Ski/"/>
    </mc:Choice>
  </mc:AlternateContent>
  <xr:revisionPtr revIDLastSave="0" documentId="13_ncr:1_{D2DE1682-0115-C54D-B6A8-73FB2E7F598F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Section" sheetId="1" r:id="rId1"/>
    <sheet name="Cl" sheetId="2" r:id="rId2"/>
    <sheet name="ClCd" sheetId="3" r:id="rId3"/>
  </sheets>
  <definedNames>
    <definedName name="cl" localSheetId="2">ClCd!$A$1:$G$37</definedName>
    <definedName name="new." localSheetId="1">Cl!$L$1:$R$48</definedName>
    <definedName name="newa" localSheetId="1">Cl!$S$1:$Y$47</definedName>
    <definedName name="sect" localSheetId="1">Cl!$K$26:$Q$63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1" l="1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J8" i="1"/>
  <c r="D86" i="1" s="1"/>
  <c r="A8" i="1"/>
  <c r="A7" i="1"/>
  <c r="A6" i="1"/>
  <c r="A5" i="1"/>
  <c r="A4" i="1"/>
  <c r="A3" i="1"/>
  <c r="C30" i="1" l="1"/>
  <c r="E30" i="1" s="1"/>
  <c r="C3" i="1"/>
  <c r="E3" i="1" s="1"/>
  <c r="C18" i="1"/>
  <c r="E18" i="1" s="1"/>
  <c r="C32" i="1"/>
  <c r="E32" i="1" s="1"/>
  <c r="C5" i="1"/>
  <c r="E5" i="1" s="1"/>
  <c r="C11" i="1"/>
  <c r="E11" i="1" s="1"/>
  <c r="C26" i="1"/>
  <c r="E26" i="1" s="1"/>
  <c r="C41" i="1"/>
  <c r="E41" i="1" s="1"/>
  <c r="C6" i="1"/>
  <c r="E6" i="1" s="1"/>
  <c r="C12" i="1"/>
  <c r="E12" i="1" s="1"/>
  <c r="C20" i="1"/>
  <c r="E20" i="1" s="1"/>
  <c r="C27" i="1"/>
  <c r="E27" i="1" s="1"/>
  <c r="C34" i="1"/>
  <c r="E34" i="1" s="1"/>
  <c r="C42" i="1"/>
  <c r="E42" i="1" s="1"/>
  <c r="C50" i="1"/>
  <c r="E50" i="1" s="1"/>
  <c r="C58" i="1"/>
  <c r="E58" i="1" s="1"/>
  <c r="C66" i="1"/>
  <c r="E66" i="1" s="1"/>
  <c r="C74" i="1"/>
  <c r="E74" i="1" s="1"/>
  <c r="C82" i="1"/>
  <c r="E82" i="1" s="1"/>
  <c r="C7" i="1"/>
  <c r="E7" i="1" s="1"/>
  <c r="C13" i="1"/>
  <c r="E13" i="1" s="1"/>
  <c r="C21" i="1"/>
  <c r="E21" i="1" s="1"/>
  <c r="C28" i="1"/>
  <c r="E28" i="1" s="1"/>
  <c r="C35" i="1"/>
  <c r="E35" i="1" s="1"/>
  <c r="C43" i="1"/>
  <c r="E43" i="1" s="1"/>
  <c r="C51" i="1"/>
  <c r="E51" i="1" s="1"/>
  <c r="C59" i="1"/>
  <c r="E59" i="1" s="1"/>
  <c r="C67" i="1"/>
  <c r="E67" i="1" s="1"/>
  <c r="C75" i="1"/>
  <c r="E75" i="1" s="1"/>
  <c r="C83" i="1"/>
  <c r="E83" i="1" s="1"/>
  <c r="C52" i="1"/>
  <c r="E52" i="1" s="1"/>
  <c r="C60" i="1"/>
  <c r="E60" i="1" s="1"/>
  <c r="C68" i="1"/>
  <c r="E68" i="1" s="1"/>
  <c r="C76" i="1"/>
  <c r="E76" i="1" s="1"/>
  <c r="C84" i="1"/>
  <c r="E84" i="1" s="1"/>
  <c r="C37" i="1"/>
  <c r="E37" i="1" s="1"/>
  <c r="C45" i="1"/>
  <c r="E45" i="1" s="1"/>
  <c r="C53" i="1"/>
  <c r="E53" i="1" s="1"/>
  <c r="C61" i="1"/>
  <c r="E61" i="1" s="1"/>
  <c r="C69" i="1"/>
  <c r="E69" i="1" s="1"/>
  <c r="C77" i="1"/>
  <c r="E77" i="1" s="1"/>
  <c r="C85" i="1"/>
  <c r="E85" i="1" s="1"/>
  <c r="C10" i="1"/>
  <c r="E10" i="1" s="1"/>
  <c r="C24" i="1"/>
  <c r="E24" i="1" s="1"/>
  <c r="C25" i="1"/>
  <c r="E25" i="1" s="1"/>
  <c r="C40" i="1"/>
  <c r="E40" i="1" s="1"/>
  <c r="C19" i="1"/>
  <c r="E19" i="1" s="1"/>
  <c r="C33" i="1"/>
  <c r="E33" i="1" s="1"/>
  <c r="C8" i="1"/>
  <c r="E8" i="1" s="1"/>
  <c r="C14" i="1"/>
  <c r="E14" i="1" s="1"/>
  <c r="C22" i="1"/>
  <c r="E22" i="1" s="1"/>
  <c r="C29" i="1"/>
  <c r="E29" i="1" s="1"/>
  <c r="C36" i="1"/>
  <c r="E36" i="1" s="1"/>
  <c r="C44" i="1"/>
  <c r="E44" i="1" s="1"/>
  <c r="C15" i="1"/>
  <c r="E15" i="1" s="1"/>
  <c r="C23" i="1"/>
  <c r="E23" i="1" s="1"/>
  <c r="C9" i="1"/>
  <c r="E9" i="1" s="1"/>
  <c r="C16" i="1"/>
  <c r="E16" i="1" s="1"/>
  <c r="C38" i="1"/>
  <c r="E38" i="1" s="1"/>
  <c r="C46" i="1"/>
  <c r="E46" i="1" s="1"/>
  <c r="C54" i="1"/>
  <c r="E54" i="1" s="1"/>
  <c r="C62" i="1"/>
  <c r="E62" i="1" s="1"/>
  <c r="C70" i="1"/>
  <c r="E70" i="1" s="1"/>
  <c r="C78" i="1"/>
  <c r="E78" i="1" s="1"/>
  <c r="C86" i="1"/>
  <c r="E86" i="1" s="1"/>
  <c r="C17" i="1"/>
  <c r="E17" i="1" s="1"/>
  <c r="C31" i="1"/>
  <c r="E31" i="1" s="1"/>
  <c r="C39" i="1"/>
  <c r="E39" i="1" s="1"/>
  <c r="C47" i="1"/>
  <c r="E47" i="1" s="1"/>
  <c r="C55" i="1"/>
  <c r="E55" i="1" s="1"/>
  <c r="C63" i="1"/>
  <c r="E63" i="1" s="1"/>
  <c r="C71" i="1"/>
  <c r="E71" i="1" s="1"/>
  <c r="C79" i="1"/>
  <c r="E79" i="1" s="1"/>
  <c r="C87" i="1"/>
  <c r="E87" i="1" s="1"/>
  <c r="C48" i="1"/>
  <c r="E48" i="1" s="1"/>
  <c r="C56" i="1"/>
  <c r="E56" i="1" s="1"/>
  <c r="C64" i="1"/>
  <c r="E64" i="1" s="1"/>
  <c r="C72" i="1"/>
  <c r="E72" i="1" s="1"/>
  <c r="C80" i="1"/>
  <c r="E80" i="1" s="1"/>
  <c r="C88" i="1"/>
  <c r="E88" i="1" s="1"/>
  <c r="C49" i="1"/>
  <c r="E49" i="1" s="1"/>
  <c r="C57" i="1"/>
  <c r="E57" i="1" s="1"/>
  <c r="C65" i="1"/>
  <c r="E65" i="1" s="1"/>
  <c r="C73" i="1"/>
  <c r="E73" i="1" s="1"/>
  <c r="C81" i="1"/>
  <c r="E81" i="1" s="1"/>
  <c r="D4" i="1"/>
  <c r="D21" i="1"/>
  <c r="D15" i="1"/>
  <c r="D31" i="1"/>
  <c r="D13" i="1"/>
  <c r="D29" i="1"/>
  <c r="D6" i="1"/>
  <c r="D39" i="1"/>
  <c r="D45" i="1"/>
  <c r="D3" i="1"/>
  <c r="D7" i="1"/>
  <c r="D11" i="1"/>
  <c r="J9" i="1"/>
  <c r="D47" i="1"/>
  <c r="D37" i="1"/>
  <c r="D23" i="1"/>
  <c r="D5" i="1"/>
  <c r="D9" i="1"/>
  <c r="D63" i="1"/>
  <c r="D79" i="1"/>
  <c r="D61" i="1"/>
  <c r="D77" i="1"/>
  <c r="D27" i="1"/>
  <c r="D43" i="1"/>
  <c r="D59" i="1"/>
  <c r="D75" i="1"/>
  <c r="D25" i="1"/>
  <c r="D41" i="1"/>
  <c r="D57" i="1"/>
  <c r="D73" i="1"/>
  <c r="D55" i="1"/>
  <c r="D71" i="1"/>
  <c r="D53" i="1"/>
  <c r="D69" i="1"/>
  <c r="D85" i="1"/>
  <c r="D19" i="1"/>
  <c r="D35" i="1"/>
  <c r="D51" i="1"/>
  <c r="D67" i="1"/>
  <c r="D83" i="1"/>
  <c r="D17" i="1"/>
  <c r="D33" i="1"/>
  <c r="D49" i="1"/>
  <c r="D65" i="1"/>
  <c r="D81" i="1"/>
  <c r="D87" i="1"/>
  <c r="C4" i="1"/>
  <c r="E4" i="1" s="1"/>
  <c r="D8" i="1"/>
  <c r="D12" i="1"/>
  <c r="D40" i="1"/>
  <c r="D88" i="1"/>
  <c r="D10" i="1"/>
  <c r="D14" i="1"/>
  <c r="D16" i="1"/>
  <c r="D18" i="1"/>
  <c r="D20" i="1"/>
  <c r="D22" i="1"/>
  <c r="D24" i="1"/>
  <c r="D26" i="1"/>
  <c r="D28" i="1"/>
  <c r="D30" i="1"/>
  <c r="D32" i="1"/>
  <c r="D34" i="1"/>
  <c r="D36" i="1"/>
  <c r="D38" i="1"/>
  <c r="D42" i="1"/>
  <c r="D44" i="1"/>
  <c r="D46" i="1"/>
  <c r="D48" i="1"/>
  <c r="D50" i="1"/>
  <c r="D52" i="1"/>
  <c r="D54" i="1"/>
  <c r="D56" i="1"/>
  <c r="D58" i="1"/>
  <c r="D60" i="1"/>
  <c r="D62" i="1"/>
  <c r="D64" i="1"/>
  <c r="D66" i="1"/>
  <c r="D68" i="1"/>
  <c r="D70" i="1"/>
  <c r="D72" i="1"/>
  <c r="D74" i="1"/>
  <c r="D76" i="1"/>
  <c r="D78" i="1"/>
  <c r="D80" i="1"/>
  <c r="D82" i="1"/>
  <c r="D84" i="1"/>
</calcChain>
</file>

<file path=xl/sharedStrings.xml><?xml version="1.0" encoding="utf-8"?>
<sst xmlns="http://schemas.openxmlformats.org/spreadsheetml/2006/main" count="63" uniqueCount="53">
  <si>
    <t>Propeller Data</t>
  </si>
  <si>
    <t>Column1</t>
  </si>
  <si>
    <t>Column2</t>
  </si>
  <si>
    <t>Column3</t>
  </si>
  <si>
    <t>SECTION (m)</t>
  </si>
  <si>
    <t>Thickness to chord ratio</t>
  </si>
  <si>
    <t>PITCH (RAD)</t>
  </si>
  <si>
    <t>CHORD LENGTH (m)</t>
  </si>
  <si>
    <t>PITCH (deg)</t>
  </si>
  <si>
    <t>SECTION Cont(m)</t>
  </si>
  <si>
    <t>CHORD Const (m)</t>
  </si>
  <si>
    <t>DIAMETER</t>
  </si>
  <si>
    <t>inch</t>
  </si>
  <si>
    <t>PITCH</t>
  </si>
  <si>
    <t>BLADES</t>
  </si>
  <si>
    <t>RadConst</t>
  </si>
  <si>
    <t>ChordConst</t>
  </si>
  <si>
    <t>Section Length</t>
  </si>
  <si>
    <t>X</t>
  </si>
  <si>
    <t>FOIL</t>
  </si>
  <si>
    <t>Versio</t>
  </si>
  <si>
    <t>n 6.96</t>
  </si>
  <si>
    <t>Calcula</t>
  </si>
  <si>
    <t>ted polar</t>
  </si>
  <si>
    <t>for: NACA</t>
  </si>
  <si>
    <t>1 1 Rey</t>
  </si>
  <si>
    <t>nolds num</t>
  </si>
  <si>
    <t>ber fixed</t>
  </si>
  <si>
    <t>M</t>
  </si>
  <si>
    <t>ach numbe</t>
  </si>
  <si>
    <t>r fixed</t>
  </si>
  <si>
    <t>xtrf =</t>
  </si>
  <si>
    <t>1.000 (</t>
  </si>
  <si>
    <t>top)</t>
  </si>
  <si>
    <t>1.000 (b</t>
  </si>
  <si>
    <t>ottom)</t>
  </si>
  <si>
    <t>Mach =</t>
  </si>
  <si>
    <t>Re =</t>
  </si>
  <si>
    <t>0.814 e</t>
  </si>
  <si>
    <t>6     Ncr</t>
  </si>
  <si>
    <t>it =   9.</t>
  </si>
  <si>
    <t>alpha</t>
  </si>
  <si>
    <t>CL</t>
  </si>
  <si>
    <t>CD</t>
  </si>
  <si>
    <t>CDp</t>
  </si>
  <si>
    <t>CM</t>
  </si>
  <si>
    <t>Top_Xtr</t>
  </si>
  <si>
    <t>Bot_Xtr</t>
  </si>
  <si>
    <t>alpharad</t>
  </si>
  <si>
    <t>------</t>
  </si>
  <si>
    <t>--------</t>
  </si>
  <si>
    <t>---------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</si>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</sst>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00000"/>
    <numFmt numFmtId="165" formatCode="0.000000000"/>
    <numFmt numFmtId="166" formatCode="0.0000000000"/>
    <numFmt numFmtId="167" formatCode="0.0000000"/>
    <numFmt numFmtId="168" formatCode="0.000000"/>
    <numFmt numFmtId="169" formatCode="0.000"/>
    <numFmt numFmtId="170" formatCode="0.0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4" fontId="1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9" fontId="1" fillId="0" borderId="0" xfId="0" applyNumberFormat="1" applyFont="1"/>
    <xf numFmtId="170" fontId="0" fillId="0" borderId="0" xfId="0" applyNumberFormat="1" applyAlignment="1">
      <alignment horizontal="center"/>
    </xf>
    <xf numFmtId="169" fontId="0" fillId="0" borderId="0" xfId="0" applyNumberFormat="1"/>
    <xf numFmtId="168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Section!$D$1:$D$2</c:f>
              <c:strCache>
                <c:ptCount val="2"/>
                <c:pt idx="0">
                  <c:v>Column3</c:v>
                </c:pt>
                <c:pt idx="1">
                  <c:v>CHORD LENGTH (m)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Section!$A$3:$A$88</c:f>
              <c:numCache>
                <c:formatCode>0.00000000000</c:formatCode>
                <c:ptCount val="86"/>
                <c:pt idx="0">
                  <c:v>0.11160983036586043</c:v>
                </c:pt>
                <c:pt idx="1">
                  <c:v>0.11537677353802678</c:v>
                </c:pt>
                <c:pt idx="2">
                  <c:v>0.11914371671019314</c:v>
                </c:pt>
                <c:pt idx="3">
                  <c:v>0.12291065988235945</c:v>
                </c:pt>
                <c:pt idx="4">
                  <c:v>0.1266776030545258</c:v>
                </c:pt>
                <c:pt idx="5">
                  <c:v>0.13044454622669216</c:v>
                </c:pt>
                <c:pt idx="6">
                  <c:v>0.13421148939885855</c:v>
                </c:pt>
                <c:pt idx="7">
                  <c:v>0.13797843257102488</c:v>
                </c:pt>
                <c:pt idx="8">
                  <c:v>0.14174537574319124</c:v>
                </c:pt>
                <c:pt idx="9">
                  <c:v>0.14551231891535757</c:v>
                </c:pt>
                <c:pt idx="10">
                  <c:v>0.1492792620875239</c:v>
                </c:pt>
                <c:pt idx="11">
                  <c:v>0.15304620525969026</c:v>
                </c:pt>
                <c:pt idx="12">
                  <c:v>0.15681314843185662</c:v>
                </c:pt>
                <c:pt idx="13">
                  <c:v>0.16058009160402295</c:v>
                </c:pt>
                <c:pt idx="14">
                  <c:v>0.16434703477618928</c:v>
                </c:pt>
                <c:pt idx="15">
                  <c:v>0.16811397794835564</c:v>
                </c:pt>
                <c:pt idx="16">
                  <c:v>0.17188092112052203</c:v>
                </c:pt>
                <c:pt idx="17">
                  <c:v>0.17564786429268833</c:v>
                </c:pt>
                <c:pt idx="18">
                  <c:v>0.17941480746485469</c:v>
                </c:pt>
                <c:pt idx="19">
                  <c:v>0.18318175063702105</c:v>
                </c:pt>
                <c:pt idx="20">
                  <c:v>0.18694869380918741</c:v>
                </c:pt>
                <c:pt idx="21">
                  <c:v>0.19071563698135371</c:v>
                </c:pt>
                <c:pt idx="22">
                  <c:v>0.19448258015352007</c:v>
                </c:pt>
                <c:pt idx="23">
                  <c:v>0.19824952332568646</c:v>
                </c:pt>
                <c:pt idx="24">
                  <c:v>0.20201646649785279</c:v>
                </c:pt>
                <c:pt idx="25">
                  <c:v>0.20578340967001912</c:v>
                </c:pt>
                <c:pt idx="26">
                  <c:v>0.20955035284218548</c:v>
                </c:pt>
                <c:pt idx="27">
                  <c:v>0.21331729601435181</c:v>
                </c:pt>
                <c:pt idx="28">
                  <c:v>0.21708423918651817</c:v>
                </c:pt>
                <c:pt idx="29">
                  <c:v>0.22085118235868453</c:v>
                </c:pt>
                <c:pt idx="30">
                  <c:v>0.22461812553085089</c:v>
                </c:pt>
                <c:pt idx="31">
                  <c:v>0.22838506870301722</c:v>
                </c:pt>
                <c:pt idx="32">
                  <c:v>0.23215201187518358</c:v>
                </c:pt>
                <c:pt idx="33">
                  <c:v>0.23591895504734992</c:v>
                </c:pt>
                <c:pt idx="34">
                  <c:v>0.23968589821951625</c:v>
                </c:pt>
                <c:pt idx="35">
                  <c:v>0.24345284139168266</c:v>
                </c:pt>
                <c:pt idx="36">
                  <c:v>0.24721978456384897</c:v>
                </c:pt>
                <c:pt idx="37">
                  <c:v>0.25098672773601527</c:v>
                </c:pt>
                <c:pt idx="38">
                  <c:v>0.25475367090818168</c:v>
                </c:pt>
                <c:pt idx="39">
                  <c:v>0.25852061408034799</c:v>
                </c:pt>
                <c:pt idx="40">
                  <c:v>0.26228755725251435</c:v>
                </c:pt>
                <c:pt idx="41">
                  <c:v>0.26605450042468065</c:v>
                </c:pt>
                <c:pt idx="42">
                  <c:v>0.26982144359684701</c:v>
                </c:pt>
                <c:pt idx="43">
                  <c:v>0.27358838676901343</c:v>
                </c:pt>
                <c:pt idx="44">
                  <c:v>0.27735532994117973</c:v>
                </c:pt>
                <c:pt idx="45">
                  <c:v>0.28112227311334603</c:v>
                </c:pt>
                <c:pt idx="46">
                  <c:v>0.28488921628551239</c:v>
                </c:pt>
                <c:pt idx="47">
                  <c:v>0.28865615945767875</c:v>
                </c:pt>
                <c:pt idx="48">
                  <c:v>0.29242310262984517</c:v>
                </c:pt>
                <c:pt idx="49">
                  <c:v>0.29619004580201147</c:v>
                </c:pt>
                <c:pt idx="50">
                  <c:v>0.29995698897417777</c:v>
                </c:pt>
                <c:pt idx="51">
                  <c:v>0.30372393214634419</c:v>
                </c:pt>
                <c:pt idx="52">
                  <c:v>0.30749087531851049</c:v>
                </c:pt>
                <c:pt idx="53">
                  <c:v>0.31125781849067691</c:v>
                </c:pt>
                <c:pt idx="54">
                  <c:v>0.31502476166284327</c:v>
                </c:pt>
                <c:pt idx="55">
                  <c:v>0.31879170483500957</c:v>
                </c:pt>
                <c:pt idx="56">
                  <c:v>0.32255864800717593</c:v>
                </c:pt>
                <c:pt idx="57">
                  <c:v>0.32632559117934223</c:v>
                </c:pt>
                <c:pt idx="58">
                  <c:v>0.33009253435150865</c:v>
                </c:pt>
                <c:pt idx="59">
                  <c:v>0.33385947752367495</c:v>
                </c:pt>
                <c:pt idx="60">
                  <c:v>0.33762642069584131</c:v>
                </c:pt>
                <c:pt idx="61">
                  <c:v>0.34139336386800762</c:v>
                </c:pt>
                <c:pt idx="62">
                  <c:v>0.34516030704017403</c:v>
                </c:pt>
                <c:pt idx="63">
                  <c:v>0.34892725021234028</c:v>
                </c:pt>
                <c:pt idx="64">
                  <c:v>0.35269419338450669</c:v>
                </c:pt>
                <c:pt idx="65">
                  <c:v>0.35646113655667305</c:v>
                </c:pt>
                <c:pt idx="66">
                  <c:v>0.36022807972883936</c:v>
                </c:pt>
                <c:pt idx="67">
                  <c:v>0.36399502290100577</c:v>
                </c:pt>
                <c:pt idx="68">
                  <c:v>0.36776196607317202</c:v>
                </c:pt>
                <c:pt idx="69">
                  <c:v>0.37152890924533843</c:v>
                </c:pt>
                <c:pt idx="70">
                  <c:v>0.37529585241750479</c:v>
                </c:pt>
                <c:pt idx="71">
                  <c:v>0.3790627955896711</c:v>
                </c:pt>
                <c:pt idx="72">
                  <c:v>0.38282973876183751</c:v>
                </c:pt>
                <c:pt idx="73">
                  <c:v>0.38659668193400382</c:v>
                </c:pt>
                <c:pt idx="74">
                  <c:v>0.39036362510617018</c:v>
                </c:pt>
                <c:pt idx="75">
                  <c:v>0.39413056827833648</c:v>
                </c:pt>
                <c:pt idx="76">
                  <c:v>0.39789751145050289</c:v>
                </c:pt>
                <c:pt idx="77">
                  <c:v>0.40166445462266925</c:v>
                </c:pt>
                <c:pt idx="78">
                  <c:v>0.40543139779483556</c:v>
                </c:pt>
                <c:pt idx="79">
                  <c:v>0.40919834096700197</c:v>
                </c:pt>
                <c:pt idx="80">
                  <c:v>0.41296528413916828</c:v>
                </c:pt>
                <c:pt idx="81">
                  <c:v>0.41673222731133458</c:v>
                </c:pt>
                <c:pt idx="82">
                  <c:v>0.42049917048350094</c:v>
                </c:pt>
                <c:pt idx="83">
                  <c:v>0.42426611365566735</c:v>
                </c:pt>
                <c:pt idx="84">
                  <c:v>0.42803305682783366</c:v>
                </c:pt>
                <c:pt idx="85">
                  <c:v>0.43179999999999996</c:v>
                </c:pt>
              </c:numCache>
            </c:numRef>
          </c:xVal>
          <c:yVal>
            <c:numRef>
              <c:f>Section!$D$3:$D$88</c:f>
              <c:numCache>
                <c:formatCode>0.0000000000</c:formatCode>
                <c:ptCount val="86"/>
                <c:pt idx="0">
                  <c:v>6.5285683894679175E-2</c:v>
                </c:pt>
                <c:pt idx="1">
                  <c:v>6.6098027417703223E-2</c:v>
                </c:pt>
                <c:pt idx="2">
                  <c:v>6.6852101574096851E-2</c:v>
                </c:pt>
                <c:pt idx="3">
                  <c:v>6.7547906363860058E-2</c:v>
                </c:pt>
                <c:pt idx="4">
                  <c:v>6.8182014177191066E-2</c:v>
                </c:pt>
                <c:pt idx="5">
                  <c:v>6.8757852623891655E-2</c:v>
                </c:pt>
                <c:pt idx="6">
                  <c:v>6.9278849313763616E-2</c:v>
                </c:pt>
                <c:pt idx="7">
                  <c:v>6.9741576637005157E-2</c:v>
                </c:pt>
                <c:pt idx="8">
                  <c:v>7.0152889813219863E-2</c:v>
                </c:pt>
                <c:pt idx="9">
                  <c:v>7.0353647888106552E-2</c:v>
                </c:pt>
                <c:pt idx="10">
                  <c:v>7.0554405962993241E-2</c:v>
                </c:pt>
                <c:pt idx="11">
                  <c:v>7.0755164037879917E-2</c:v>
                </c:pt>
                <c:pt idx="12">
                  <c:v>7.0955935607293394E-2</c:v>
                </c:pt>
                <c:pt idx="13">
                  <c:v>7.1156693682180069E-2</c:v>
                </c:pt>
                <c:pt idx="14">
                  <c:v>7.1357451757066759E-2</c:v>
                </c:pt>
                <c:pt idx="15">
                  <c:v>7.1558209831953448E-2</c:v>
                </c:pt>
                <c:pt idx="16">
                  <c:v>7.1381876850536194E-2</c:v>
                </c:pt>
                <c:pt idx="17">
                  <c:v>7.1205543869118954E-2</c:v>
                </c:pt>
                <c:pt idx="18">
                  <c:v>7.1029210887701713E-2</c:v>
                </c:pt>
                <c:pt idx="19">
                  <c:v>7.0852877906284473E-2</c:v>
                </c:pt>
                <c:pt idx="20">
                  <c:v>7.0676558419394006E-2</c:v>
                </c:pt>
                <c:pt idx="21">
                  <c:v>7.0500225437976766E-2</c:v>
                </c:pt>
                <c:pt idx="22">
                  <c:v>7.0323892456559525E-2</c:v>
                </c:pt>
                <c:pt idx="23">
                  <c:v>7.0147559475142271E-2</c:v>
                </c:pt>
                <c:pt idx="24">
                  <c:v>6.9971226493725031E-2</c:v>
                </c:pt>
                <c:pt idx="25">
                  <c:v>6.9510051041063045E-2</c:v>
                </c:pt>
                <c:pt idx="26">
                  <c:v>6.9048889082927833E-2</c:v>
                </c:pt>
                <c:pt idx="27">
                  <c:v>6.8587713630265834E-2</c:v>
                </c:pt>
                <c:pt idx="28">
                  <c:v>6.8126551672130622E-2</c:v>
                </c:pt>
                <c:pt idx="29">
                  <c:v>6.7665376219468623E-2</c:v>
                </c:pt>
                <c:pt idx="30">
                  <c:v>6.7204214261333411E-2</c:v>
                </c:pt>
                <c:pt idx="31">
                  <c:v>6.6743038808671412E-2</c:v>
                </c:pt>
                <c:pt idx="32">
                  <c:v>6.62818768505362E-2</c:v>
                </c:pt>
                <c:pt idx="33">
                  <c:v>6.5820701397874215E-2</c:v>
                </c:pt>
                <c:pt idx="34">
                  <c:v>6.5359539439739003E-2</c:v>
                </c:pt>
                <c:pt idx="35">
                  <c:v>6.4898363987077004E-2</c:v>
                </c:pt>
                <c:pt idx="36">
                  <c:v>6.4061271501940825E-2</c:v>
                </c:pt>
                <c:pt idx="37">
                  <c:v>6.3224165522277873E-2</c:v>
                </c:pt>
                <c:pt idx="38">
                  <c:v>6.2387073037141694E-2</c:v>
                </c:pt>
                <c:pt idx="39">
                  <c:v>6.1549967057478741E-2</c:v>
                </c:pt>
                <c:pt idx="40">
                  <c:v>6.0712874572342569E-2</c:v>
                </c:pt>
                <c:pt idx="41">
                  <c:v>5.987576859267961E-2</c:v>
                </c:pt>
                <c:pt idx="42">
                  <c:v>5.9038676107543431E-2</c:v>
                </c:pt>
                <c:pt idx="43">
                  <c:v>5.8201570127880485E-2</c:v>
                </c:pt>
                <c:pt idx="44">
                  <c:v>5.7364477642744306E-2</c:v>
                </c:pt>
                <c:pt idx="45">
                  <c:v>5.6467132095541245E-2</c:v>
                </c:pt>
                <c:pt idx="46">
                  <c:v>5.5569786548338183E-2</c:v>
                </c:pt>
                <c:pt idx="47">
                  <c:v>5.4672427506608341E-2</c:v>
                </c:pt>
                <c:pt idx="48">
                  <c:v>5.377508195940528E-2</c:v>
                </c:pt>
                <c:pt idx="49">
                  <c:v>5.2877736412202218E-2</c:v>
                </c:pt>
                <c:pt idx="50">
                  <c:v>5.1980390864999164E-2</c:v>
                </c:pt>
                <c:pt idx="51">
                  <c:v>5.1083045317796102E-2</c:v>
                </c:pt>
                <c:pt idx="52">
                  <c:v>5.018568627606626E-2</c:v>
                </c:pt>
                <c:pt idx="53">
                  <c:v>4.9288340728863199E-2</c:v>
                </c:pt>
                <c:pt idx="54">
                  <c:v>4.8390995181660137E-2</c:v>
                </c:pt>
                <c:pt idx="55">
                  <c:v>4.7452167459139369E-2</c:v>
                </c:pt>
                <c:pt idx="56">
                  <c:v>4.6513339736618586E-2</c:v>
                </c:pt>
                <c:pt idx="57">
                  <c:v>4.5574512014097804E-2</c:v>
                </c:pt>
                <c:pt idx="58">
                  <c:v>4.4635684291577035E-2</c:v>
                </c:pt>
                <c:pt idx="59">
                  <c:v>4.3696856569056253E-2</c:v>
                </c:pt>
                <c:pt idx="60">
                  <c:v>4.275802884653547E-2</c:v>
                </c:pt>
                <c:pt idx="61">
                  <c:v>4.1819201124014695E-2</c:v>
                </c:pt>
                <c:pt idx="62">
                  <c:v>4.0880373401493919E-2</c:v>
                </c:pt>
                <c:pt idx="63">
                  <c:v>3.9941545678973144E-2</c:v>
                </c:pt>
                <c:pt idx="64">
                  <c:v>3.9002771934559477E-2</c:v>
                </c:pt>
                <c:pt idx="65">
                  <c:v>3.8124615604435731E-2</c:v>
                </c:pt>
                <c:pt idx="66">
                  <c:v>3.7246459274311972E-2</c:v>
                </c:pt>
                <c:pt idx="67">
                  <c:v>3.6368302944188226E-2</c:v>
                </c:pt>
                <c:pt idx="68">
                  <c:v>3.5490146614064466E-2</c:v>
                </c:pt>
                <c:pt idx="69">
                  <c:v>3.4611990283940713E-2</c:v>
                </c:pt>
                <c:pt idx="70">
                  <c:v>3.3733833953816961E-2</c:v>
                </c:pt>
                <c:pt idx="71">
                  <c:v>3.2855677623693208E-2</c:v>
                </c:pt>
                <c:pt idx="72">
                  <c:v>3.1977521293569462E-2</c:v>
                </c:pt>
                <c:pt idx="73">
                  <c:v>3.1099364963445706E-2</c:v>
                </c:pt>
                <c:pt idx="74">
                  <c:v>3.0221235622375511E-2</c:v>
                </c:pt>
                <c:pt idx="75">
                  <c:v>2.9319774244504944E-2</c:v>
                </c:pt>
                <c:pt idx="76">
                  <c:v>2.8418312866634383E-2</c:v>
                </c:pt>
                <c:pt idx="77">
                  <c:v>2.7516851488763816E-2</c:v>
                </c:pt>
                <c:pt idx="78">
                  <c:v>2.6615390110893256E-2</c:v>
                </c:pt>
                <c:pt idx="79">
                  <c:v>2.5713928733022692E-2</c:v>
                </c:pt>
                <c:pt idx="80">
                  <c:v>2.4812467355152128E-2</c:v>
                </c:pt>
                <c:pt idx="81">
                  <c:v>2.2776467132889333E-2</c:v>
                </c:pt>
                <c:pt idx="82">
                  <c:v>2.0044662120863331E-2</c:v>
                </c:pt>
                <c:pt idx="83">
                  <c:v>1.6805570858172521E-2</c:v>
                </c:pt>
                <c:pt idx="84">
                  <c:v>1.0598169507132254E-2</c:v>
                </c:pt>
                <c:pt idx="85">
                  <c:v>1.1345388443922302E-3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A0-9241-9C96-9C25DC419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36976"/>
        <c:axId val="97911801"/>
      </c:scatterChart>
      <c:valAx>
        <c:axId val="57536976"/>
        <c:scaling>
          <c:orientation val="minMax"/>
        </c:scaling>
        <c:delete val="0"/>
        <c:axPos val="b"/>
        <c:numFmt formatCode="0.00000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97911801"/>
        <c:crosses val="autoZero"/>
        <c:crossBetween val="midCat"/>
      </c:valAx>
      <c:valAx>
        <c:axId val="979118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5753697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Section!$A$1:$A$2</c:f>
              <c:strCache>
                <c:ptCount val="2"/>
                <c:pt idx="0">
                  <c:v>Propeller Data</c:v>
                </c:pt>
                <c:pt idx="1">
                  <c:v>SECTION (m)</c:v>
                </c:pt>
              </c:strCache>
            </c:strRef>
          </c:tx>
          <c:spPr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Section!$A$3:$A$88</c:f>
              <c:numCache>
                <c:formatCode>0.00000000000</c:formatCode>
                <c:ptCount val="86"/>
                <c:pt idx="0">
                  <c:v>0.11160983036586043</c:v>
                </c:pt>
                <c:pt idx="1">
                  <c:v>0.11537677353802678</c:v>
                </c:pt>
                <c:pt idx="2">
                  <c:v>0.11914371671019314</c:v>
                </c:pt>
                <c:pt idx="3">
                  <c:v>0.12291065988235945</c:v>
                </c:pt>
                <c:pt idx="4">
                  <c:v>0.1266776030545258</c:v>
                </c:pt>
                <c:pt idx="5">
                  <c:v>0.13044454622669216</c:v>
                </c:pt>
                <c:pt idx="6">
                  <c:v>0.13421148939885855</c:v>
                </c:pt>
                <c:pt idx="7">
                  <c:v>0.13797843257102488</c:v>
                </c:pt>
                <c:pt idx="8">
                  <c:v>0.14174537574319124</c:v>
                </c:pt>
                <c:pt idx="9">
                  <c:v>0.14551231891535757</c:v>
                </c:pt>
                <c:pt idx="10">
                  <c:v>0.1492792620875239</c:v>
                </c:pt>
                <c:pt idx="11">
                  <c:v>0.15304620525969026</c:v>
                </c:pt>
                <c:pt idx="12">
                  <c:v>0.15681314843185662</c:v>
                </c:pt>
                <c:pt idx="13">
                  <c:v>0.16058009160402295</c:v>
                </c:pt>
                <c:pt idx="14">
                  <c:v>0.16434703477618928</c:v>
                </c:pt>
                <c:pt idx="15">
                  <c:v>0.16811397794835564</c:v>
                </c:pt>
                <c:pt idx="16">
                  <c:v>0.17188092112052203</c:v>
                </c:pt>
                <c:pt idx="17">
                  <c:v>0.17564786429268833</c:v>
                </c:pt>
                <c:pt idx="18">
                  <c:v>0.17941480746485469</c:v>
                </c:pt>
                <c:pt idx="19">
                  <c:v>0.18318175063702105</c:v>
                </c:pt>
                <c:pt idx="20">
                  <c:v>0.18694869380918741</c:v>
                </c:pt>
                <c:pt idx="21">
                  <c:v>0.19071563698135371</c:v>
                </c:pt>
                <c:pt idx="22">
                  <c:v>0.19448258015352007</c:v>
                </c:pt>
                <c:pt idx="23">
                  <c:v>0.19824952332568646</c:v>
                </c:pt>
                <c:pt idx="24">
                  <c:v>0.20201646649785279</c:v>
                </c:pt>
                <c:pt idx="25">
                  <c:v>0.20578340967001912</c:v>
                </c:pt>
                <c:pt idx="26">
                  <c:v>0.20955035284218548</c:v>
                </c:pt>
                <c:pt idx="27">
                  <c:v>0.21331729601435181</c:v>
                </c:pt>
                <c:pt idx="28">
                  <c:v>0.21708423918651817</c:v>
                </c:pt>
                <c:pt idx="29">
                  <c:v>0.22085118235868453</c:v>
                </c:pt>
                <c:pt idx="30">
                  <c:v>0.22461812553085089</c:v>
                </c:pt>
                <c:pt idx="31">
                  <c:v>0.22838506870301722</c:v>
                </c:pt>
                <c:pt idx="32">
                  <c:v>0.23215201187518358</c:v>
                </c:pt>
                <c:pt idx="33">
                  <c:v>0.23591895504734992</c:v>
                </c:pt>
                <c:pt idx="34">
                  <c:v>0.23968589821951625</c:v>
                </c:pt>
                <c:pt idx="35">
                  <c:v>0.24345284139168266</c:v>
                </c:pt>
                <c:pt idx="36">
                  <c:v>0.24721978456384897</c:v>
                </c:pt>
                <c:pt idx="37">
                  <c:v>0.25098672773601527</c:v>
                </c:pt>
                <c:pt idx="38">
                  <c:v>0.25475367090818168</c:v>
                </c:pt>
                <c:pt idx="39">
                  <c:v>0.25852061408034799</c:v>
                </c:pt>
                <c:pt idx="40">
                  <c:v>0.26228755725251435</c:v>
                </c:pt>
                <c:pt idx="41">
                  <c:v>0.26605450042468065</c:v>
                </c:pt>
                <c:pt idx="42">
                  <c:v>0.26982144359684701</c:v>
                </c:pt>
                <c:pt idx="43">
                  <c:v>0.27358838676901343</c:v>
                </c:pt>
                <c:pt idx="44">
                  <c:v>0.27735532994117973</c:v>
                </c:pt>
                <c:pt idx="45">
                  <c:v>0.28112227311334603</c:v>
                </c:pt>
                <c:pt idx="46">
                  <c:v>0.28488921628551239</c:v>
                </c:pt>
                <c:pt idx="47">
                  <c:v>0.28865615945767875</c:v>
                </c:pt>
                <c:pt idx="48">
                  <c:v>0.29242310262984517</c:v>
                </c:pt>
                <c:pt idx="49">
                  <c:v>0.29619004580201147</c:v>
                </c:pt>
                <c:pt idx="50">
                  <c:v>0.29995698897417777</c:v>
                </c:pt>
                <c:pt idx="51">
                  <c:v>0.30372393214634419</c:v>
                </c:pt>
                <c:pt idx="52">
                  <c:v>0.30749087531851049</c:v>
                </c:pt>
                <c:pt idx="53">
                  <c:v>0.31125781849067691</c:v>
                </c:pt>
                <c:pt idx="54">
                  <c:v>0.31502476166284327</c:v>
                </c:pt>
                <c:pt idx="55">
                  <c:v>0.31879170483500957</c:v>
                </c:pt>
                <c:pt idx="56">
                  <c:v>0.32255864800717593</c:v>
                </c:pt>
                <c:pt idx="57">
                  <c:v>0.32632559117934223</c:v>
                </c:pt>
                <c:pt idx="58">
                  <c:v>0.33009253435150865</c:v>
                </c:pt>
                <c:pt idx="59">
                  <c:v>0.33385947752367495</c:v>
                </c:pt>
                <c:pt idx="60">
                  <c:v>0.33762642069584131</c:v>
                </c:pt>
                <c:pt idx="61">
                  <c:v>0.34139336386800762</c:v>
                </c:pt>
                <c:pt idx="62">
                  <c:v>0.34516030704017403</c:v>
                </c:pt>
                <c:pt idx="63">
                  <c:v>0.34892725021234028</c:v>
                </c:pt>
                <c:pt idx="64">
                  <c:v>0.35269419338450669</c:v>
                </c:pt>
                <c:pt idx="65">
                  <c:v>0.35646113655667305</c:v>
                </c:pt>
                <c:pt idx="66">
                  <c:v>0.36022807972883936</c:v>
                </c:pt>
                <c:pt idx="67">
                  <c:v>0.36399502290100577</c:v>
                </c:pt>
                <c:pt idx="68">
                  <c:v>0.36776196607317202</c:v>
                </c:pt>
                <c:pt idx="69">
                  <c:v>0.37152890924533843</c:v>
                </c:pt>
                <c:pt idx="70">
                  <c:v>0.37529585241750479</c:v>
                </c:pt>
                <c:pt idx="71">
                  <c:v>0.3790627955896711</c:v>
                </c:pt>
                <c:pt idx="72">
                  <c:v>0.38282973876183751</c:v>
                </c:pt>
                <c:pt idx="73">
                  <c:v>0.38659668193400382</c:v>
                </c:pt>
                <c:pt idx="74">
                  <c:v>0.39036362510617018</c:v>
                </c:pt>
                <c:pt idx="75">
                  <c:v>0.39413056827833648</c:v>
                </c:pt>
                <c:pt idx="76">
                  <c:v>0.39789751145050289</c:v>
                </c:pt>
                <c:pt idx="77">
                  <c:v>0.40166445462266925</c:v>
                </c:pt>
                <c:pt idx="78">
                  <c:v>0.40543139779483556</c:v>
                </c:pt>
                <c:pt idx="79">
                  <c:v>0.40919834096700197</c:v>
                </c:pt>
                <c:pt idx="80">
                  <c:v>0.41296528413916828</c:v>
                </c:pt>
                <c:pt idx="81">
                  <c:v>0.41673222731133458</c:v>
                </c:pt>
                <c:pt idx="82">
                  <c:v>0.42049917048350094</c:v>
                </c:pt>
                <c:pt idx="83">
                  <c:v>0.42426611365566735</c:v>
                </c:pt>
                <c:pt idx="84">
                  <c:v>0.42803305682783366</c:v>
                </c:pt>
                <c:pt idx="85">
                  <c:v>0.43179999999999996</c:v>
                </c:pt>
              </c:numCache>
            </c:numRef>
          </c:xVal>
          <c:yVal>
            <c:numRef>
              <c:f>Section!$E$2:$E$88</c:f>
              <c:numCache>
                <c:formatCode>0.0000000</c:formatCode>
                <c:ptCount val="87"/>
                <c:pt idx="0">
                  <c:v>0</c:v>
                </c:pt>
                <c:pt idx="1">
                  <c:v>22.32816854734072</c:v>
                </c:pt>
                <c:pt idx="2">
                  <c:v>21.667688286591879</c:v>
                </c:pt>
                <c:pt idx="3">
                  <c:v>21.043432197714495</c:v>
                </c:pt>
                <c:pt idx="4">
                  <c:v>20.452636471243569</c:v>
                </c:pt>
                <c:pt idx="5">
                  <c:v>19.892797204956697</c:v>
                </c:pt>
                <c:pt idx="6">
                  <c:v>19.361642407779211</c:v>
                </c:pt>
                <c:pt idx="7">
                  <c:v>18.857107256503195</c:v>
                </c:pt>
                <c:pt idx="8">
                  <c:v>18.377312226448165</c:v>
                </c:pt>
                <c:pt idx="9">
                  <c:v>17.920543754935757</c:v>
                </c:pt>
                <c:pt idx="10">
                  <c:v>17.485237133260792</c:v>
                </c:pt>
                <c:pt idx="11">
                  <c:v>17.069961357483706</c:v>
                </c:pt>
                <c:pt idx="12">
                  <c:v>16.67340570021533</c:v>
                </c:pt>
                <c:pt idx="13">
                  <c:v>16.294367794369741</c:v>
                </c:pt>
                <c:pt idx="14">
                  <c:v>15.931743045616301</c:v>
                </c:pt>
                <c:pt idx="15">
                  <c:v>15.584515213100202</c:v>
                </c:pt>
                <c:pt idx="16">
                  <c:v>15.251748018129556</c:v>
                </c:pt>
                <c:pt idx="17">
                  <c:v>14.932577658190173</c:v>
                </c:pt>
                <c:pt idx="18">
                  <c:v>14.626206119098931</c:v>
                </c:pt>
                <c:pt idx="19">
                  <c:v>14.331895191590498</c:v>
                </c:pt>
                <c:pt idx="20">
                  <c:v>14.04896111038291</c:v>
                </c:pt>
                <c:pt idx="21">
                  <c:v>13.776769743997306</c:v>
                </c:pt>
                <c:pt idx="22">
                  <c:v>13.514732272509638</c:v>
                </c:pt>
                <c:pt idx="23">
                  <c:v>13.262301298158011</c:v>
                </c:pt>
                <c:pt idx="24">
                  <c:v>13.018967340469937</c:v>
                </c:pt>
                <c:pt idx="25">
                  <c:v>12.784255673442157</c:v>
                </c:pt>
                <c:pt idx="26">
                  <c:v>12.557723467417487</c:v>
                </c:pt>
                <c:pt idx="27">
                  <c:v>12.338957202759458</c:v>
                </c:pt>
                <c:pt idx="28">
                  <c:v>12.127570326313377</c:v>
                </c:pt>
                <c:pt idx="29">
                  <c:v>11.923201125037984</c:v>
                </c:pt>
                <c:pt idx="30">
                  <c:v>11.725510794160339</c:v>
                </c:pt>
                <c:pt idx="31">
                  <c:v>11.534181679804446</c:v>
                </c:pt>
                <c:pt idx="32">
                  <c:v>11.348915678320715</c:v>
                </c:pt>
                <c:pt idx="33">
                  <c:v>11.169432776540136</c:v>
                </c:pt>
                <c:pt idx="34">
                  <c:v>10.995469718931199</c:v>
                </c:pt>
                <c:pt idx="35">
                  <c:v>10.826778789180041</c:v>
                </c:pt>
                <c:pt idx="36">
                  <c:v>10.66312669507259</c:v>
                </c:pt>
                <c:pt idx="37">
                  <c:v>10.504293546754896</c:v>
                </c:pt>
                <c:pt idx="38">
                  <c:v>10.350071919505066</c:v>
                </c:pt>
                <c:pt idx="39">
                  <c:v>10.200265993084546</c:v>
                </c:pt>
                <c:pt idx="40">
                  <c:v>10.054690760563455</c:v>
                </c:pt>
                <c:pt idx="41">
                  <c:v>9.9131713002474822</c:v>
                </c:pt>
                <c:pt idx="42">
                  <c:v>9.7755421049841811</c:v>
                </c:pt>
                <c:pt idx="43">
                  <c:v>9.6416464637038999</c:v>
                </c:pt>
                <c:pt idx="44">
                  <c:v>9.511335890564693</c:v>
                </c:pt>
                <c:pt idx="45">
                  <c:v>9.3844695975278007</c:v>
                </c:pt>
                <c:pt idx="46">
                  <c:v>9.2609140065985791</c:v>
                </c:pt>
                <c:pt idx="47">
                  <c:v>9.1405422983318729</c:v>
                </c:pt>
                <c:pt idx="48">
                  <c:v>9.0232339935263877</c:v>
                </c:pt>
                <c:pt idx="49">
                  <c:v>8.9088745653239876</c:v>
                </c:pt>
                <c:pt idx="50">
                  <c:v>8.7973550791908615</c:v>
                </c:pt>
                <c:pt idx="51">
                  <c:v>8.688571858491521</c:v>
                </c:pt>
                <c:pt idx="52">
                  <c:v>8.5824261735769269</c:v>
                </c:pt>
                <c:pt idx="53">
                  <c:v>8.4788239524968425</c:v>
                </c:pt>
                <c:pt idx="54">
                  <c:v>8.3776755116166743</c:v>
                </c:pt>
                <c:pt idx="55">
                  <c:v>8.2788953045721669</c:v>
                </c:pt>
                <c:pt idx="56">
                  <c:v>8.1824016881335542</c:v>
                </c:pt>
                <c:pt idx="57">
                  <c:v>8.0881167036753379</c:v>
                </c:pt>
                <c:pt idx="58">
                  <c:v>7.9959658730607481</c:v>
                </c:pt>
                <c:pt idx="59">
                  <c:v>7.905878007851773</c:v>
                </c:pt>
                <c:pt idx="60">
                  <c:v>7.817785030847948</c:v>
                </c:pt>
                <c:pt idx="61">
                  <c:v>7.7316218090409015</c:v>
                </c:pt>
                <c:pt idx="62">
                  <c:v>7.6473259971474228</c:v>
                </c:pt>
                <c:pt idx="63">
                  <c:v>7.564837890952874</c:v>
                </c:pt>
                <c:pt idx="64">
                  <c:v>7.4841002897593754</c:v>
                </c:pt>
                <c:pt idx="65">
                  <c:v>7.4050583672902102</c:v>
                </c:pt>
                <c:pt idx="66">
                  <c:v>7.3276595504538742</c:v>
                </c:pt>
                <c:pt idx="67">
                  <c:v>7.2518534054184123</c:v>
                </c:pt>
                <c:pt idx="68">
                  <c:v>7.177591530489992</c:v>
                </c:pt>
                <c:pt idx="69">
                  <c:v>7.1048274553289072</c:v>
                </c:pt>
                <c:pt idx="70">
                  <c:v>7.0335165460724074</c:v>
                </c:pt>
                <c:pt idx="71">
                  <c:v>6.963615915966531</c:v>
                </c:pt>
                <c:pt idx="72">
                  <c:v>6.895084341139337</c:v>
                </c:pt>
                <c:pt idx="73">
                  <c:v>6.8278821811755712</c:v>
                </c:pt>
                <c:pt idx="74">
                  <c:v>6.7619713041780463</c:v>
                </c:pt>
                <c:pt idx="75">
                  <c:v>6.6973150160243025</c:v>
                </c:pt>
                <c:pt idx="76">
                  <c:v>6.6338779935484435</c:v>
                </c:pt>
                <c:pt idx="77">
                  <c:v>6.571626221397568</c:v>
                </c:pt>
                <c:pt idx="78">
                  <c:v>6.510526932330337</c:v>
                </c:pt>
                <c:pt idx="79">
                  <c:v>6.4505485507417353</c:v>
                </c:pt>
                <c:pt idx="80">
                  <c:v>6.3916606392133399</c:v>
                </c:pt>
                <c:pt idx="81">
                  <c:v>6.3338338479025653</c:v>
                </c:pt>
                <c:pt idx="82">
                  <c:v>6.2770398665972174</c:v>
                </c:pt>
                <c:pt idx="83">
                  <c:v>6.2212513792737711</c:v>
                </c:pt>
                <c:pt idx="84">
                  <c:v>6.1664420210087485</c:v>
                </c:pt>
                <c:pt idx="85">
                  <c:v>6.1125863371028979</c:v>
                </c:pt>
                <c:pt idx="86">
                  <c:v>6.0596597442871669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DE-D347-AD55-895084177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75138"/>
        <c:axId val="7087997"/>
      </c:scatterChart>
      <c:valAx>
        <c:axId val="82475138"/>
        <c:scaling>
          <c:orientation val="minMax"/>
        </c:scaling>
        <c:delete val="0"/>
        <c:axPos val="b"/>
        <c:numFmt formatCode="0.00000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7087997"/>
        <c:crosses val="autoZero"/>
        <c:crossBetween val="midCat"/>
      </c:valAx>
      <c:valAx>
        <c:axId val="70879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8247513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span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834120</xdr:colOff>
      <xdr:row>10</xdr:row>
      <xdr:rowOff>153360</xdr:rowOff>
    </xdr:from>
    <xdr:to>
      <xdr:col>21</xdr:col>
      <xdr:colOff>493920</xdr:colOff>
      <xdr:row>19</xdr:row>
      <xdr:rowOff>114120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84240</xdr:colOff>
      <xdr:row>19</xdr:row>
      <xdr:rowOff>112680</xdr:rowOff>
    </xdr:from>
    <xdr:to>
      <xdr:col>21</xdr:col>
      <xdr:colOff>392040</xdr:colOff>
      <xdr:row>29</xdr:row>
      <xdr:rowOff>18000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4" totalsRowShown="0">
  <autoFilter ref="A1:E14" xr:uid="{00000000-0009-0000-0100-000001000000}"/>
  <tableColumns count="5">
    <tableColumn id="1" xr3:uid="{00000000-0010-0000-0000-000001000000}" name="Propeller Data"/>
    <tableColumn id="2" xr3:uid="{00000000-0010-0000-0000-000002000000}" name="Column1"/>
    <tableColumn id="3" xr3:uid="{00000000-0010-0000-0000-000003000000}" name="Column2"/>
    <tableColumn id="4" xr3:uid="{00000000-0010-0000-0000-000004000000}" name="Column3"/>
    <tableColumn id="5" xr3:uid="{00000000-0010-0000-0000-000005000000}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8"/>
  <sheetViews>
    <sheetView tabSelected="1" zoomScaleNormal="140" workbookViewId="0">
      <selection activeCell="J3" sqref="J3"/>
    </sheetView>
  </sheetViews>
  <sheetFormatPr baseColWidth="10" defaultColWidth="8.83203125" defaultRowHeight="15" x14ac:dyDescent="0.2"/>
  <cols>
    <col min="1" max="1" width="19.5" style="1" customWidth="1"/>
    <col min="2" max="2" width="17.83203125" style="2" customWidth="1"/>
    <col min="3" max="3" width="18.5" style="3" customWidth="1"/>
    <col min="4" max="4" width="17.6640625" style="3" customWidth="1"/>
    <col min="5" max="5" width="15.83203125" style="4" customWidth="1"/>
    <col min="6" max="6" width="17.1640625" style="2" customWidth="1"/>
    <col min="7" max="7" width="17.6640625" style="3" customWidth="1"/>
    <col min="8" max="8" width="12" customWidth="1"/>
    <col min="9" max="9" width="13.6640625" customWidth="1"/>
    <col min="10" max="10" width="12.6640625" style="5" customWidth="1"/>
    <col min="14" max="14" width="10.5" customWidth="1"/>
    <col min="15" max="15" width="17.33203125" customWidth="1"/>
    <col min="16" max="16" width="10.5" customWidth="1"/>
    <col min="17" max="17" width="10.6640625" customWidth="1"/>
    <col min="18" max="18" width="10" customWidth="1"/>
    <col min="19" max="19" width="11.33203125" customWidth="1"/>
  </cols>
  <sheetData>
    <row r="1" spans="1:22" x14ac:dyDescent="0.2">
      <c r="A1" s="6" t="s">
        <v>0</v>
      </c>
      <c r="B1" s="7" t="s">
        <v>1</v>
      </c>
      <c r="C1" s="8" t="s">
        <v>2</v>
      </c>
      <c r="D1" s="8" t="s">
        <v>3</v>
      </c>
      <c r="E1" s="9" t="s">
        <v>52</v>
      </c>
      <c r="F1" s="7"/>
      <c r="G1" s="8"/>
    </row>
    <row r="2" spans="1:22" x14ac:dyDescent="0.2">
      <c r="A2" s="10" t="s">
        <v>4</v>
      </c>
      <c r="B2" s="7" t="s">
        <v>5</v>
      </c>
      <c r="C2" s="8" t="s">
        <v>6</v>
      </c>
      <c r="D2" s="8" t="s">
        <v>7</v>
      </c>
      <c r="E2" s="9" t="s">
        <v>8</v>
      </c>
      <c r="F2" s="7" t="s">
        <v>9</v>
      </c>
      <c r="G2" s="8" t="s">
        <v>10</v>
      </c>
      <c r="I2" s="11" t="s">
        <v>11</v>
      </c>
      <c r="J2" s="12">
        <v>34</v>
      </c>
      <c r="K2" t="s">
        <v>12</v>
      </c>
      <c r="V2" t="s">
        <v>13</v>
      </c>
    </row>
    <row r="3" spans="1:22" x14ac:dyDescent="0.2">
      <c r="A3" s="13">
        <f t="shared" ref="A3:A34" si="0">F3/$J$7*$J$2/2*0.0254</f>
        <v>0.11160983036586043</v>
      </c>
      <c r="B3" s="14">
        <v>0.2087</v>
      </c>
      <c r="C3" s="3">
        <f t="shared" ref="C3:C34" si="1">ATAN($J$3*0.0254/(2*3.14*A3))</f>
        <v>0.38970005709133498</v>
      </c>
      <c r="D3" s="15">
        <f t="shared" ref="D3:D34" si="2">G3*$J$8</f>
        <v>6.5285683894679175E-2</v>
      </c>
      <c r="E3" s="4">
        <f t="shared" ref="E3:E34" si="3">C3*180/PI()</f>
        <v>22.32816854734072</v>
      </c>
      <c r="F3" s="14">
        <v>8.270748E-2</v>
      </c>
      <c r="G3" s="15">
        <v>4.837938E-2</v>
      </c>
      <c r="I3" s="16" t="s">
        <v>13</v>
      </c>
      <c r="J3" s="17">
        <f>J2/3</f>
        <v>11.333333333333334</v>
      </c>
      <c r="K3" t="s">
        <v>12</v>
      </c>
    </row>
    <row r="4" spans="1:22" x14ac:dyDescent="0.2">
      <c r="A4" s="13">
        <f t="shared" si="0"/>
        <v>0.11537677353802678</v>
      </c>
      <c r="B4" s="14">
        <v>0.20580000000000001</v>
      </c>
      <c r="C4" s="3">
        <f t="shared" si="1"/>
        <v>0.37817250189683699</v>
      </c>
      <c r="D4" s="15">
        <f t="shared" si="2"/>
        <v>6.6098027417703223E-2</v>
      </c>
      <c r="E4" s="4">
        <f t="shared" si="3"/>
        <v>21.667688286591879</v>
      </c>
      <c r="F4" s="14">
        <v>8.5498939999999995E-2</v>
      </c>
      <c r="G4" s="15">
        <v>4.8981360000000002E-2</v>
      </c>
      <c r="I4" s="16" t="s">
        <v>14</v>
      </c>
      <c r="J4" s="12">
        <v>12</v>
      </c>
    </row>
    <row r="5" spans="1:22" x14ac:dyDescent="0.2">
      <c r="A5" s="13">
        <f t="shared" si="0"/>
        <v>0.11914371671019314</v>
      </c>
      <c r="B5" s="14">
        <v>0.2031</v>
      </c>
      <c r="C5" s="3">
        <f t="shared" si="1"/>
        <v>0.36727717777030433</v>
      </c>
      <c r="D5" s="15">
        <f t="shared" si="2"/>
        <v>6.6852101574096851E-2</v>
      </c>
      <c r="E5" s="4">
        <f t="shared" si="3"/>
        <v>21.043432197714495</v>
      </c>
      <c r="F5" s="14">
        <v>8.8290400000000005E-2</v>
      </c>
      <c r="G5" s="15">
        <v>4.954016E-2</v>
      </c>
      <c r="I5" s="18"/>
    </row>
    <row r="6" spans="1:22" x14ac:dyDescent="0.2">
      <c r="A6" s="13">
        <f t="shared" si="0"/>
        <v>0.12291065988235945</v>
      </c>
      <c r="B6" s="14">
        <v>0.20039999999999999</v>
      </c>
      <c r="C6" s="3">
        <f t="shared" si="1"/>
        <v>0.35696584713667479</v>
      </c>
      <c r="D6" s="15">
        <f t="shared" si="2"/>
        <v>6.7547906363860058E-2</v>
      </c>
      <c r="E6" s="4">
        <f t="shared" si="3"/>
        <v>20.452636471243569</v>
      </c>
      <c r="F6" s="14">
        <v>9.1081860000000001E-2</v>
      </c>
      <c r="G6" s="15">
        <v>5.0055780000000001E-2</v>
      </c>
      <c r="I6" s="18"/>
    </row>
    <row r="7" spans="1:22" x14ac:dyDescent="0.2">
      <c r="A7" s="13">
        <f t="shared" si="0"/>
        <v>0.1266776030545258</v>
      </c>
      <c r="B7" s="14">
        <v>0.19769999999999999</v>
      </c>
      <c r="C7" s="3">
        <f t="shared" si="1"/>
        <v>0.3471948086580196</v>
      </c>
      <c r="D7" s="15">
        <f t="shared" si="2"/>
        <v>6.8182014177191066E-2</v>
      </c>
      <c r="E7" s="4">
        <f t="shared" si="3"/>
        <v>19.892797204956697</v>
      </c>
      <c r="F7" s="14">
        <v>9.3873319999999996E-2</v>
      </c>
      <c r="G7" s="15">
        <v>5.0525680000000003E-2</v>
      </c>
      <c r="I7" s="18" t="s">
        <v>15</v>
      </c>
      <c r="J7" s="19">
        <v>0.31998157999999999</v>
      </c>
    </row>
    <row r="8" spans="1:22" x14ac:dyDescent="0.2">
      <c r="A8" s="13">
        <f t="shared" si="0"/>
        <v>0.13044454622669216</v>
      </c>
      <c r="B8" s="14">
        <v>0.1951</v>
      </c>
      <c r="C8" s="3">
        <f t="shared" si="1"/>
        <v>0.33792440860950979</v>
      </c>
      <c r="D8" s="15">
        <f t="shared" si="2"/>
        <v>6.8757852623891655E-2</v>
      </c>
      <c r="E8" s="4">
        <f t="shared" si="3"/>
        <v>19.361642407779211</v>
      </c>
      <c r="F8" s="14">
        <v>9.6664780000000006E-2</v>
      </c>
      <c r="G8" s="15">
        <v>5.0952400000000002E-2</v>
      </c>
      <c r="I8" s="18" t="s">
        <v>16</v>
      </c>
      <c r="J8" s="5">
        <f>(J2*0.0254/2)/J7</f>
        <v>1.3494526778697697</v>
      </c>
    </row>
    <row r="9" spans="1:22" x14ac:dyDescent="0.2">
      <c r="A9" s="13">
        <f t="shared" si="0"/>
        <v>0.13421148939885855</v>
      </c>
      <c r="B9" s="14">
        <v>0.1925</v>
      </c>
      <c r="C9" s="3">
        <f t="shared" si="1"/>
        <v>0.32911860902769563</v>
      </c>
      <c r="D9" s="15">
        <f t="shared" si="2"/>
        <v>6.9278849313763616E-2</v>
      </c>
      <c r="E9" s="4">
        <f t="shared" si="3"/>
        <v>18.857107256503195</v>
      </c>
      <c r="F9" s="14">
        <v>9.9456240000000001E-2</v>
      </c>
      <c r="G9" s="15">
        <v>5.1338479999999999E-2</v>
      </c>
      <c r="I9" s="18" t="s">
        <v>17</v>
      </c>
      <c r="J9" s="5">
        <f>A4-A3</f>
        <v>3.7669431721663454E-3</v>
      </c>
    </row>
    <row r="10" spans="1:22" x14ac:dyDescent="0.2">
      <c r="A10" s="13">
        <f t="shared" si="0"/>
        <v>0.13797843257102488</v>
      </c>
      <c r="B10" s="14">
        <v>0.18990000000000001</v>
      </c>
      <c r="C10" s="3">
        <f t="shared" si="1"/>
        <v>0.32074460601853022</v>
      </c>
      <c r="D10" s="15">
        <f t="shared" si="2"/>
        <v>6.9741576637005157E-2</v>
      </c>
      <c r="E10" s="4">
        <f t="shared" si="3"/>
        <v>18.377312226448165</v>
      </c>
      <c r="F10" s="14">
        <v>0.1022477</v>
      </c>
      <c r="G10" s="15">
        <v>5.1681379999999999E-2</v>
      </c>
      <c r="I10" s="18"/>
    </row>
    <row r="11" spans="1:22" x14ac:dyDescent="0.2">
      <c r="A11" s="13">
        <f t="shared" si="0"/>
        <v>0.14174537574319124</v>
      </c>
      <c r="B11" s="14">
        <v>0.18740000000000001</v>
      </c>
      <c r="C11" s="3">
        <f t="shared" si="1"/>
        <v>0.31277249227133674</v>
      </c>
      <c r="D11" s="15">
        <f t="shared" si="2"/>
        <v>7.0152889813219863E-2</v>
      </c>
      <c r="E11" s="4">
        <f t="shared" si="3"/>
        <v>17.920543754935757</v>
      </c>
      <c r="F11" s="14">
        <v>0.10503916000000001</v>
      </c>
      <c r="G11" s="15">
        <v>5.198618E-2</v>
      </c>
      <c r="I11" s="18"/>
    </row>
    <row r="12" spans="1:22" x14ac:dyDescent="0.2">
      <c r="A12" s="13">
        <f t="shared" si="0"/>
        <v>0.14551231891535757</v>
      </c>
      <c r="B12" s="14">
        <v>0.1851429</v>
      </c>
      <c r="C12" s="3">
        <f t="shared" si="1"/>
        <v>0.3051749584673753</v>
      </c>
      <c r="D12" s="15">
        <f t="shared" si="2"/>
        <v>7.0353647888106552E-2</v>
      </c>
      <c r="E12" s="4">
        <f t="shared" si="3"/>
        <v>17.485237133260792</v>
      </c>
      <c r="F12" s="14">
        <v>0.10783062</v>
      </c>
      <c r="G12" s="15">
        <v>5.2134949999999999E-2</v>
      </c>
      <c r="I12" s="18"/>
    </row>
    <row r="13" spans="1:22" x14ac:dyDescent="0.2">
      <c r="A13" s="13">
        <f t="shared" si="0"/>
        <v>0.1492792620875239</v>
      </c>
      <c r="B13" s="14">
        <v>0.18288570000000001</v>
      </c>
      <c r="C13" s="3">
        <f t="shared" si="1"/>
        <v>0.29792702887629147</v>
      </c>
      <c r="D13" s="15">
        <f t="shared" si="2"/>
        <v>7.0554405962993241E-2</v>
      </c>
      <c r="E13" s="4">
        <f t="shared" si="3"/>
        <v>17.069961357483706</v>
      </c>
      <c r="F13" s="14">
        <v>0.11062208</v>
      </c>
      <c r="G13" s="15">
        <v>5.2283719999999999E-2</v>
      </c>
      <c r="I13" s="18"/>
    </row>
    <row r="14" spans="1:22" x14ac:dyDescent="0.2">
      <c r="A14" s="13">
        <f t="shared" si="0"/>
        <v>0.15304620525969026</v>
      </c>
      <c r="B14" s="14">
        <v>0.1806286</v>
      </c>
      <c r="C14" s="3">
        <f t="shared" si="1"/>
        <v>0.29100582698954813</v>
      </c>
      <c r="D14" s="15">
        <f t="shared" si="2"/>
        <v>7.0755164037879917E-2</v>
      </c>
      <c r="E14" s="4">
        <f t="shared" si="3"/>
        <v>16.67340570021533</v>
      </c>
      <c r="F14" s="14">
        <v>0.11341353999999999</v>
      </c>
      <c r="G14" s="15">
        <v>5.2432489999999998E-2</v>
      </c>
      <c r="I14" s="18"/>
    </row>
    <row r="15" spans="1:22" x14ac:dyDescent="0.2">
      <c r="A15" s="13">
        <f t="shared" si="0"/>
        <v>0.15681314843185662</v>
      </c>
      <c r="B15" s="14">
        <v>0.17837140000000001</v>
      </c>
      <c r="C15" s="3">
        <f t="shared" si="1"/>
        <v>0.28439036754267832</v>
      </c>
      <c r="D15" s="15">
        <f t="shared" si="2"/>
        <v>7.0955935607293394E-2</v>
      </c>
      <c r="E15" s="4">
        <f t="shared" si="3"/>
        <v>16.294367794369741</v>
      </c>
      <c r="F15" s="14">
        <v>0.116205</v>
      </c>
      <c r="G15" s="15">
        <v>5.2581269999999999E-2</v>
      </c>
    </row>
    <row r="16" spans="1:22" x14ac:dyDescent="0.2">
      <c r="A16" s="13">
        <f t="shared" si="0"/>
        <v>0.16058009160402295</v>
      </c>
      <c r="B16" s="14">
        <v>0.1761143</v>
      </c>
      <c r="C16" s="3">
        <f t="shared" si="1"/>
        <v>0.27806137172771361</v>
      </c>
      <c r="D16" s="15">
        <f t="shared" si="2"/>
        <v>7.1156693682180069E-2</v>
      </c>
      <c r="E16" s="4">
        <f t="shared" si="3"/>
        <v>15.931743045616301</v>
      </c>
      <c r="F16" s="14">
        <v>0.11899646</v>
      </c>
      <c r="G16" s="15">
        <v>5.2730039999999999E-2</v>
      </c>
    </row>
    <row r="17" spans="1:7" x14ac:dyDescent="0.2">
      <c r="A17" s="13">
        <f t="shared" si="0"/>
        <v>0.16434703477618928</v>
      </c>
      <c r="B17" s="14">
        <v>0.17385709999999999</v>
      </c>
      <c r="C17" s="3">
        <f t="shared" si="1"/>
        <v>0.27200110279574424</v>
      </c>
      <c r="D17" s="15">
        <f t="shared" si="2"/>
        <v>7.1357451757066759E-2</v>
      </c>
      <c r="E17" s="4">
        <f t="shared" si="3"/>
        <v>15.584515213100202</v>
      </c>
      <c r="F17" s="14">
        <v>0.12178791999999999</v>
      </c>
      <c r="G17" s="15">
        <v>5.2878809999999998E-2</v>
      </c>
    </row>
    <row r="18" spans="1:7" x14ac:dyDescent="0.2">
      <c r="A18" s="13">
        <f t="shared" si="0"/>
        <v>0.16811397794835564</v>
      </c>
      <c r="B18" s="14">
        <v>0.1716</v>
      </c>
      <c r="C18" s="3">
        <f t="shared" si="1"/>
        <v>0.26619321960088055</v>
      </c>
      <c r="D18" s="15">
        <f t="shared" si="2"/>
        <v>7.1558209831953448E-2</v>
      </c>
      <c r="E18" s="4">
        <f t="shared" si="3"/>
        <v>15.251748018129556</v>
      </c>
      <c r="F18" s="14">
        <v>0.12457938</v>
      </c>
      <c r="G18" s="15">
        <v>5.3027579999999998E-2</v>
      </c>
    </row>
    <row r="19" spans="1:7" x14ac:dyDescent="0.2">
      <c r="A19" s="13">
        <f t="shared" si="0"/>
        <v>0.17188092112052203</v>
      </c>
      <c r="B19" s="14">
        <v>0.16931109999999999</v>
      </c>
      <c r="C19" s="3">
        <f t="shared" si="1"/>
        <v>0.26062264594516293</v>
      </c>
      <c r="D19" s="15">
        <f t="shared" si="2"/>
        <v>7.1381876850536194E-2</v>
      </c>
      <c r="E19" s="4">
        <f t="shared" si="3"/>
        <v>14.932577658190173</v>
      </c>
      <c r="F19" s="14">
        <v>0.12737084000000001</v>
      </c>
      <c r="G19" s="15">
        <v>5.2896909999999998E-2</v>
      </c>
    </row>
    <row r="20" spans="1:7" x14ac:dyDescent="0.2">
      <c r="A20" s="13">
        <f t="shared" si="0"/>
        <v>0.17564786429268833</v>
      </c>
      <c r="B20" s="14">
        <v>0.16702220000000001</v>
      </c>
      <c r="C20" s="3">
        <f t="shared" si="1"/>
        <v>0.25527545385361822</v>
      </c>
      <c r="D20" s="15">
        <f t="shared" si="2"/>
        <v>7.1205543869118954E-2</v>
      </c>
      <c r="E20" s="4">
        <f t="shared" si="3"/>
        <v>14.626206119098931</v>
      </c>
      <c r="F20" s="14">
        <v>0.13016230000000001</v>
      </c>
      <c r="G20" s="15">
        <v>5.2766239999999999E-2</v>
      </c>
    </row>
    <row r="21" spans="1:7" x14ac:dyDescent="0.2">
      <c r="A21" s="13">
        <f t="shared" si="0"/>
        <v>0.17941480746485469</v>
      </c>
      <c r="B21" s="14">
        <v>0.1647333</v>
      </c>
      <c r="C21" s="3">
        <f t="shared" si="1"/>
        <v>0.25013875914399769</v>
      </c>
      <c r="D21" s="15">
        <f t="shared" si="2"/>
        <v>7.1029210887701713E-2</v>
      </c>
      <c r="E21" s="4">
        <f t="shared" si="3"/>
        <v>14.331895191590498</v>
      </c>
      <c r="F21" s="14">
        <v>0.13295376</v>
      </c>
      <c r="G21" s="15">
        <v>5.263557E-2</v>
      </c>
    </row>
    <row r="22" spans="1:7" x14ac:dyDescent="0.2">
      <c r="A22" s="13">
        <f t="shared" si="0"/>
        <v>0.18318175063702105</v>
      </c>
      <c r="B22" s="14">
        <v>0.16244439999999999</v>
      </c>
      <c r="C22" s="3">
        <f t="shared" si="1"/>
        <v>0.24520062786082028</v>
      </c>
      <c r="D22" s="15">
        <f t="shared" si="2"/>
        <v>7.0852877906284473E-2</v>
      </c>
      <c r="E22" s="4">
        <f t="shared" si="3"/>
        <v>14.04896111038291</v>
      </c>
      <c r="F22" s="14">
        <v>0.13574522</v>
      </c>
      <c r="G22" s="15">
        <v>5.25049E-2</v>
      </c>
    </row>
    <row r="23" spans="1:7" x14ac:dyDescent="0.2">
      <c r="A23" s="13">
        <f t="shared" si="0"/>
        <v>0.18694869380918741</v>
      </c>
      <c r="B23" s="14">
        <v>0.16015560000000001</v>
      </c>
      <c r="C23" s="3">
        <f t="shared" si="1"/>
        <v>0.24044999232188929</v>
      </c>
      <c r="D23" s="15">
        <f t="shared" si="2"/>
        <v>7.0676558419394006E-2</v>
      </c>
      <c r="E23" s="4">
        <f t="shared" si="3"/>
        <v>13.776769743997306</v>
      </c>
      <c r="F23" s="14">
        <v>0.13853668</v>
      </c>
      <c r="G23" s="15">
        <v>5.2374240000000002E-2</v>
      </c>
    </row>
    <row r="24" spans="1:7" x14ac:dyDescent="0.2">
      <c r="A24" s="13">
        <f t="shared" si="0"/>
        <v>0.19071563698135371</v>
      </c>
      <c r="B24" s="14">
        <v>0.1578667</v>
      </c>
      <c r="C24" s="3">
        <f t="shared" si="1"/>
        <v>0.23587657568082873</v>
      </c>
      <c r="D24" s="15">
        <f t="shared" si="2"/>
        <v>7.0500225437976766E-2</v>
      </c>
      <c r="E24" s="4">
        <f t="shared" si="3"/>
        <v>13.514732272509638</v>
      </c>
      <c r="F24" s="14">
        <v>0.14132813999999999</v>
      </c>
      <c r="G24" s="15">
        <v>5.2243570000000003E-2</v>
      </c>
    </row>
    <row r="25" spans="1:7" x14ac:dyDescent="0.2">
      <c r="A25" s="13">
        <f t="shared" si="0"/>
        <v>0.19448258015352007</v>
      </c>
      <c r="B25" s="14">
        <v>0.15557779999999999</v>
      </c>
      <c r="C25" s="3">
        <f t="shared" si="1"/>
        <v>0.23147082404437544</v>
      </c>
      <c r="D25" s="15">
        <f t="shared" si="2"/>
        <v>7.0323892456559525E-2</v>
      </c>
      <c r="E25" s="4">
        <f t="shared" si="3"/>
        <v>13.262301298158011</v>
      </c>
      <c r="F25" s="14">
        <v>0.14411959999999999</v>
      </c>
      <c r="G25" s="15">
        <v>5.2112899999999997E-2</v>
      </c>
    </row>
    <row r="26" spans="1:7" x14ac:dyDescent="0.2">
      <c r="A26" s="13">
        <f t="shared" si="0"/>
        <v>0.19824952332568646</v>
      </c>
      <c r="B26" s="14">
        <v>0.15328890000000001</v>
      </c>
      <c r="C26" s="3">
        <f t="shared" si="1"/>
        <v>0.22722384530081</v>
      </c>
      <c r="D26" s="15">
        <f t="shared" si="2"/>
        <v>7.0147559475142271E-2</v>
      </c>
      <c r="E26" s="4">
        <f t="shared" si="3"/>
        <v>13.018967340469937</v>
      </c>
      <c r="F26" s="14">
        <v>0.14691106000000001</v>
      </c>
      <c r="G26" s="15">
        <v>5.1982229999999997E-2</v>
      </c>
    </row>
    <row r="27" spans="1:7" x14ac:dyDescent="0.2">
      <c r="A27" s="13">
        <f t="shared" si="0"/>
        <v>0.20201646649785279</v>
      </c>
      <c r="B27" s="14">
        <v>0.151</v>
      </c>
      <c r="C27" s="3">
        <f t="shared" si="1"/>
        <v>0.22312735391833061</v>
      </c>
      <c r="D27" s="15">
        <f t="shared" si="2"/>
        <v>6.9971226493725031E-2</v>
      </c>
      <c r="E27" s="4">
        <f t="shared" si="3"/>
        <v>12.784255673442157</v>
      </c>
      <c r="F27" s="14">
        <v>0.14970252000000001</v>
      </c>
      <c r="G27" s="15">
        <v>5.1851559999999998E-2</v>
      </c>
    </row>
    <row r="28" spans="1:7" x14ac:dyDescent="0.2">
      <c r="A28" s="13">
        <f t="shared" si="0"/>
        <v>0.20578340967001912</v>
      </c>
      <c r="B28" s="14">
        <v>0.1494364</v>
      </c>
      <c r="C28" s="3">
        <f t="shared" si="1"/>
        <v>0.21917362106139401</v>
      </c>
      <c r="D28" s="15">
        <f t="shared" si="2"/>
        <v>6.9510051041063045E-2</v>
      </c>
      <c r="E28" s="4">
        <f t="shared" si="3"/>
        <v>12.557723467417487</v>
      </c>
      <c r="F28" s="14">
        <v>0.15249398</v>
      </c>
      <c r="G28" s="15">
        <v>5.1509810000000003E-2</v>
      </c>
    </row>
    <row r="29" spans="1:7" x14ac:dyDescent="0.2">
      <c r="A29" s="13">
        <f t="shared" si="0"/>
        <v>0.20955035284218548</v>
      </c>
      <c r="B29" s="14">
        <v>0.1478727</v>
      </c>
      <c r="C29" s="3">
        <f t="shared" si="1"/>
        <v>0.21535542945082209</v>
      </c>
      <c r="D29" s="15">
        <f t="shared" si="2"/>
        <v>6.9048889082927833E-2</v>
      </c>
      <c r="E29" s="4">
        <f t="shared" si="3"/>
        <v>12.338957202759458</v>
      </c>
      <c r="F29" s="14">
        <v>0.15528544</v>
      </c>
      <c r="G29" s="15">
        <v>5.1168070000000003E-2</v>
      </c>
    </row>
    <row r="30" spans="1:7" x14ac:dyDescent="0.2">
      <c r="A30" s="13">
        <f t="shared" si="0"/>
        <v>0.21331729601435181</v>
      </c>
      <c r="B30" s="14">
        <v>0.1463091</v>
      </c>
      <c r="C30" s="3">
        <f t="shared" si="1"/>
        <v>0.2116660324613315</v>
      </c>
      <c r="D30" s="15">
        <f t="shared" si="2"/>
        <v>6.8587713630265834E-2</v>
      </c>
      <c r="E30" s="4">
        <f t="shared" si="3"/>
        <v>12.127570326313377</v>
      </c>
      <c r="F30" s="14">
        <v>0.15807689999999999</v>
      </c>
      <c r="G30" s="15">
        <v>5.0826320000000001E-2</v>
      </c>
    </row>
    <row r="31" spans="1:7" x14ac:dyDescent="0.2">
      <c r="A31" s="13">
        <f t="shared" si="0"/>
        <v>0.21708423918651817</v>
      </c>
      <c r="B31" s="14">
        <v>0.1447455</v>
      </c>
      <c r="C31" s="3">
        <f t="shared" si="1"/>
        <v>0.20809911700940495</v>
      </c>
      <c r="D31" s="15">
        <f t="shared" si="2"/>
        <v>6.8126551672130622E-2</v>
      </c>
      <c r="E31" s="4">
        <f t="shared" si="3"/>
        <v>11.923201125037984</v>
      </c>
      <c r="F31" s="14">
        <v>0.16086835999999999</v>
      </c>
      <c r="G31" s="15">
        <v>5.0484580000000001E-2</v>
      </c>
    </row>
    <row r="32" spans="1:7" x14ac:dyDescent="0.2">
      <c r="A32" s="13">
        <f t="shared" si="0"/>
        <v>0.22085118235868453</v>
      </c>
      <c r="B32" s="14">
        <v>0.1431818</v>
      </c>
      <c r="C32" s="3">
        <f t="shared" si="1"/>
        <v>0.20464876983623304</v>
      </c>
      <c r="D32" s="15">
        <f t="shared" si="2"/>
        <v>6.7665376219468623E-2</v>
      </c>
      <c r="E32" s="4">
        <f t="shared" si="3"/>
        <v>11.725510794160339</v>
      </c>
      <c r="F32" s="14">
        <v>0.16365982000000001</v>
      </c>
      <c r="G32" s="15">
        <v>5.0142829999999999E-2</v>
      </c>
    </row>
    <row r="33" spans="1:7" x14ac:dyDescent="0.2">
      <c r="A33" s="13">
        <f t="shared" si="0"/>
        <v>0.22461812553085089</v>
      </c>
      <c r="B33" s="14">
        <v>0.1416182</v>
      </c>
      <c r="C33" s="3">
        <f t="shared" si="1"/>
        <v>0.20130944683579793</v>
      </c>
      <c r="D33" s="15">
        <f t="shared" si="2"/>
        <v>6.7204214261333411E-2</v>
      </c>
      <c r="E33" s="4">
        <f t="shared" si="3"/>
        <v>11.534181679804446</v>
      </c>
      <c r="F33" s="14">
        <v>0.16645128000000001</v>
      </c>
      <c r="G33" s="15">
        <v>4.9801089999999999E-2</v>
      </c>
    </row>
    <row r="34" spans="1:7" x14ac:dyDescent="0.2">
      <c r="A34" s="13">
        <f t="shared" si="0"/>
        <v>0.22838506870301722</v>
      </c>
      <c r="B34" s="14">
        <v>0.1400545</v>
      </c>
      <c r="C34" s="3">
        <f t="shared" si="1"/>
        <v>0.19807594511790214</v>
      </c>
      <c r="D34" s="15">
        <f t="shared" si="2"/>
        <v>6.6743038808671412E-2</v>
      </c>
      <c r="E34" s="4">
        <f t="shared" si="3"/>
        <v>11.348915678320715</v>
      </c>
      <c r="F34" s="14">
        <v>0.16924274</v>
      </c>
      <c r="G34" s="15">
        <v>4.9459339999999997E-2</v>
      </c>
    </row>
    <row r="35" spans="1:7" x14ac:dyDescent="0.2">
      <c r="A35" s="13">
        <f t="shared" ref="A35:A66" si="4">F35/$J$7*$J$2/2*0.0254</f>
        <v>0.23215201187518358</v>
      </c>
      <c r="B35" s="14">
        <v>0.1384909</v>
      </c>
      <c r="C35" s="3">
        <f t="shared" ref="C35:C66" si="5">ATAN($J$3*0.0254/(2*3.14*A35))</f>
        <v>0.19494337753079741</v>
      </c>
      <c r="D35" s="15">
        <f t="shared" ref="D35:D66" si="6">G35*$J$8</f>
        <v>6.62818768505362E-2</v>
      </c>
      <c r="E35" s="4">
        <f t="shared" ref="E35:E66" si="7">C35*180/PI()</f>
        <v>11.169432776540136</v>
      </c>
      <c r="F35" s="14">
        <v>0.1720342</v>
      </c>
      <c r="G35" s="15">
        <v>4.9117599999999997E-2</v>
      </c>
    </row>
    <row r="36" spans="1:7" x14ac:dyDescent="0.2">
      <c r="A36" s="13">
        <f t="shared" si="4"/>
        <v>0.23591895504734992</v>
      </c>
      <c r="B36" s="14">
        <v>0.1369273</v>
      </c>
      <c r="C36" s="3">
        <f t="shared" si="5"/>
        <v>0.19190714939868489</v>
      </c>
      <c r="D36" s="15">
        <f t="shared" si="6"/>
        <v>6.5820701397874215E-2</v>
      </c>
      <c r="E36" s="4">
        <f t="shared" si="7"/>
        <v>10.995469718931199</v>
      </c>
      <c r="F36" s="14">
        <v>0.17482565999999999</v>
      </c>
      <c r="G36" s="15">
        <v>4.8775850000000003E-2</v>
      </c>
    </row>
    <row r="37" spans="1:7" x14ac:dyDescent="0.2">
      <c r="A37" s="13">
        <f t="shared" si="4"/>
        <v>0.23968589821951625</v>
      </c>
      <c r="B37" s="14">
        <v>0.1353636</v>
      </c>
      <c r="C37" s="3">
        <f t="shared" si="5"/>
        <v>0.18896293725627675</v>
      </c>
      <c r="D37" s="15">
        <f t="shared" si="6"/>
        <v>6.5359539439739003E-2</v>
      </c>
      <c r="E37" s="4">
        <f t="shared" si="7"/>
        <v>10.826778789180041</v>
      </c>
      <c r="F37" s="14">
        <v>0.17761711999999999</v>
      </c>
      <c r="G37" s="15">
        <v>4.8434110000000002E-2</v>
      </c>
    </row>
    <row r="38" spans="1:7" x14ac:dyDescent="0.2">
      <c r="A38" s="13">
        <f t="shared" si="4"/>
        <v>0.24345284139168266</v>
      </c>
      <c r="B38" s="14">
        <v>0.1338</v>
      </c>
      <c r="C38" s="3">
        <f t="shared" si="5"/>
        <v>0.18610666938631809</v>
      </c>
      <c r="D38" s="15">
        <f t="shared" si="6"/>
        <v>6.4898363987077004E-2</v>
      </c>
      <c r="E38" s="4">
        <f t="shared" si="7"/>
        <v>10.66312669507259</v>
      </c>
      <c r="F38" s="14">
        <v>0.18040858000000001</v>
      </c>
      <c r="G38" s="15">
        <v>4.8092360000000001E-2</v>
      </c>
    </row>
    <row r="39" spans="1:7" x14ac:dyDescent="0.2">
      <c r="A39" s="13">
        <f t="shared" si="4"/>
        <v>0.24721978456384897</v>
      </c>
      <c r="B39" s="14">
        <v>0.1322778</v>
      </c>
      <c r="C39" s="3">
        <f t="shared" si="5"/>
        <v>0.18333450798686585</v>
      </c>
      <c r="D39" s="15">
        <f t="shared" si="6"/>
        <v>6.4061271501940825E-2</v>
      </c>
      <c r="E39" s="4">
        <f t="shared" si="7"/>
        <v>10.504293546754896</v>
      </c>
      <c r="F39" s="14">
        <v>0.18320004000000001</v>
      </c>
      <c r="G39" s="15">
        <v>4.747204E-2</v>
      </c>
    </row>
    <row r="40" spans="1:7" x14ac:dyDescent="0.2">
      <c r="A40" s="13">
        <f t="shared" si="4"/>
        <v>0.25098672773601527</v>
      </c>
      <c r="B40" s="14">
        <v>0.1307556</v>
      </c>
      <c r="C40" s="3">
        <f t="shared" si="5"/>
        <v>0.18064283281357291</v>
      </c>
      <c r="D40" s="15">
        <f t="shared" si="6"/>
        <v>6.3224165522277873E-2</v>
      </c>
      <c r="E40" s="4">
        <f t="shared" si="7"/>
        <v>10.350071919505066</v>
      </c>
      <c r="F40" s="14">
        <v>0.1859915</v>
      </c>
      <c r="G40" s="15">
        <v>4.6851709999999998E-2</v>
      </c>
    </row>
    <row r="41" spans="1:7" x14ac:dyDescent="0.2">
      <c r="A41" s="13">
        <f t="shared" si="4"/>
        <v>0.25475367090818168</v>
      </c>
      <c r="B41" s="14">
        <v>0.1292333</v>
      </c>
      <c r="C41" s="3">
        <f t="shared" si="5"/>
        <v>0.17802822615853447</v>
      </c>
      <c r="D41" s="15">
        <f t="shared" si="6"/>
        <v>6.2387073037141694E-2</v>
      </c>
      <c r="E41" s="4">
        <f t="shared" si="7"/>
        <v>10.200265993084546</v>
      </c>
      <c r="F41" s="14">
        <v>0.18878296</v>
      </c>
      <c r="G41" s="15">
        <v>4.6231389999999997E-2</v>
      </c>
    </row>
    <row r="42" spans="1:7" x14ac:dyDescent="0.2">
      <c r="A42" s="13">
        <f t="shared" si="4"/>
        <v>0.25852061408034799</v>
      </c>
      <c r="B42" s="14">
        <v>0.12771109999999999</v>
      </c>
      <c r="C42" s="3">
        <f t="shared" si="5"/>
        <v>0.17548745904168511</v>
      </c>
      <c r="D42" s="15">
        <f t="shared" si="6"/>
        <v>6.1549967057478741E-2</v>
      </c>
      <c r="E42" s="4">
        <f t="shared" si="7"/>
        <v>10.054690760563455</v>
      </c>
      <c r="F42" s="14">
        <v>0.19157442</v>
      </c>
      <c r="G42" s="15">
        <v>4.5611060000000002E-2</v>
      </c>
    </row>
    <row r="43" spans="1:7" x14ac:dyDescent="0.2">
      <c r="A43" s="13">
        <f t="shared" si="4"/>
        <v>0.26228755725251435</v>
      </c>
      <c r="B43" s="14">
        <v>0.12618889999999999</v>
      </c>
      <c r="C43" s="3">
        <f t="shared" si="5"/>
        <v>0.17301747850352595</v>
      </c>
      <c r="D43" s="15">
        <f t="shared" si="6"/>
        <v>6.0712874572342569E-2</v>
      </c>
      <c r="E43" s="4">
        <f t="shared" si="7"/>
        <v>9.9131713002474822</v>
      </c>
      <c r="F43" s="14">
        <v>0.19436587999999999</v>
      </c>
      <c r="G43" s="15">
        <v>4.4990740000000001E-2</v>
      </c>
    </row>
    <row r="44" spans="1:7" x14ac:dyDescent="0.2">
      <c r="A44" s="13">
        <f t="shared" si="4"/>
        <v>0.26605450042468065</v>
      </c>
      <c r="B44" s="14">
        <v>0.12466670000000001</v>
      </c>
      <c r="C44" s="3">
        <f t="shared" si="5"/>
        <v>0.17061539589931113</v>
      </c>
      <c r="D44" s="15">
        <f t="shared" si="6"/>
        <v>5.987576859267961E-2</v>
      </c>
      <c r="E44" s="4">
        <f t="shared" si="7"/>
        <v>9.7755421049841811</v>
      </c>
      <c r="F44" s="14">
        <v>0.19715733999999999</v>
      </c>
      <c r="G44" s="15">
        <v>4.4370409999999999E-2</v>
      </c>
    </row>
    <row r="45" spans="1:7" x14ac:dyDescent="0.2">
      <c r="A45" s="13">
        <f t="shared" si="4"/>
        <v>0.26982144359684701</v>
      </c>
      <c r="B45" s="14">
        <v>0.1231444</v>
      </c>
      <c r="C45" s="3">
        <f t="shared" si="5"/>
        <v>0.16827847610490101</v>
      </c>
      <c r="D45" s="15">
        <f t="shared" si="6"/>
        <v>5.9038676107543431E-2</v>
      </c>
      <c r="E45" s="4">
        <f t="shared" si="7"/>
        <v>9.6416464637038999</v>
      </c>
      <c r="F45" s="14">
        <v>0.19994880000000001</v>
      </c>
      <c r="G45" s="15">
        <v>4.3750089999999998E-2</v>
      </c>
    </row>
    <row r="46" spans="1:7" x14ac:dyDescent="0.2">
      <c r="A46" s="13">
        <f t="shared" si="4"/>
        <v>0.27358838676901343</v>
      </c>
      <c r="B46" s="14">
        <v>0.1216222</v>
      </c>
      <c r="C46" s="3">
        <f t="shared" si="5"/>
        <v>0.16600412755346097</v>
      </c>
      <c r="D46" s="15">
        <f t="shared" si="6"/>
        <v>5.8201570127880485E-2</v>
      </c>
      <c r="E46" s="4">
        <f t="shared" si="7"/>
        <v>9.511335890564693</v>
      </c>
      <c r="F46" s="14">
        <v>0.20274026000000001</v>
      </c>
      <c r="G46" s="15">
        <v>4.3129760000000003E-2</v>
      </c>
    </row>
    <row r="47" spans="1:7" x14ac:dyDescent="0.2">
      <c r="A47" s="13">
        <f t="shared" si="4"/>
        <v>0.27735532994117973</v>
      </c>
      <c r="B47" s="14">
        <v>0.1201</v>
      </c>
      <c r="C47" s="3">
        <f t="shared" si="5"/>
        <v>0.16378989303016722</v>
      </c>
      <c r="D47" s="15">
        <f t="shared" si="6"/>
        <v>5.7364477642744306E-2</v>
      </c>
      <c r="E47" s="4">
        <f t="shared" si="7"/>
        <v>9.3844695975278007</v>
      </c>
      <c r="F47" s="14">
        <v>0.20553172</v>
      </c>
      <c r="G47" s="15">
        <v>4.2509440000000003E-2</v>
      </c>
    </row>
    <row r="48" spans="1:7" x14ac:dyDescent="0.2">
      <c r="A48" s="13">
        <f t="shared" si="4"/>
        <v>0.28112227311334603</v>
      </c>
      <c r="B48" s="14">
        <v>0.11907</v>
      </c>
      <c r="C48" s="3">
        <f t="shared" si="5"/>
        <v>0.16163344115920508</v>
      </c>
      <c r="D48" s="15">
        <f t="shared" si="6"/>
        <v>5.6467132095541245E-2</v>
      </c>
      <c r="E48" s="4">
        <f t="shared" si="7"/>
        <v>9.2609140065985791</v>
      </c>
      <c r="F48" s="14">
        <v>0.20832318</v>
      </c>
      <c r="G48" s="15">
        <v>4.1844470000000002E-2</v>
      </c>
    </row>
    <row r="49" spans="1:7" x14ac:dyDescent="0.2">
      <c r="A49" s="13">
        <f t="shared" si="4"/>
        <v>0.28488921628551239</v>
      </c>
      <c r="B49" s="14">
        <v>0.11804000000000001</v>
      </c>
      <c r="C49" s="3">
        <f t="shared" si="5"/>
        <v>0.15953255852370096</v>
      </c>
      <c r="D49" s="15">
        <f t="shared" si="6"/>
        <v>5.5569786548338183E-2</v>
      </c>
      <c r="E49" s="4">
        <f t="shared" si="7"/>
        <v>9.1405422983318729</v>
      </c>
      <c r="F49" s="14">
        <v>0.21111463999999999</v>
      </c>
      <c r="G49" s="15">
        <v>4.1179500000000001E-2</v>
      </c>
    </row>
    <row r="50" spans="1:7" x14ac:dyDescent="0.2">
      <c r="A50" s="13">
        <f t="shared" si="4"/>
        <v>0.28865615945767875</v>
      </c>
      <c r="B50" s="14">
        <v>0.11701</v>
      </c>
      <c r="C50" s="3">
        <f t="shared" si="5"/>
        <v>0.15748514236491218</v>
      </c>
      <c r="D50" s="15">
        <f t="shared" si="6"/>
        <v>5.4672427506608341E-2</v>
      </c>
      <c r="E50" s="4">
        <f t="shared" si="7"/>
        <v>9.0232339935263877</v>
      </c>
      <c r="F50" s="14">
        <v>0.21390609999999999</v>
      </c>
      <c r="G50" s="15">
        <v>4.0514519999999998E-2</v>
      </c>
    </row>
    <row r="51" spans="1:7" x14ac:dyDescent="0.2">
      <c r="A51" s="13">
        <f t="shared" si="4"/>
        <v>0.29242310262984517</v>
      </c>
      <c r="B51" s="14">
        <v>0.11598</v>
      </c>
      <c r="C51" s="3">
        <f t="shared" si="5"/>
        <v>0.15548919381208223</v>
      </c>
      <c r="D51" s="15">
        <f t="shared" si="6"/>
        <v>5.377508195940528E-2</v>
      </c>
      <c r="E51" s="4">
        <f t="shared" si="7"/>
        <v>8.9088745653239876</v>
      </c>
      <c r="F51" s="14">
        <v>0.21669756000000001</v>
      </c>
      <c r="G51" s="15">
        <v>3.9849549999999997E-2</v>
      </c>
    </row>
    <row r="52" spans="1:7" x14ac:dyDescent="0.2">
      <c r="A52" s="13">
        <f t="shared" si="4"/>
        <v>0.29619004580201147</v>
      </c>
      <c r="B52" s="14">
        <v>0.11495</v>
      </c>
      <c r="C52" s="3">
        <f t="shared" si="5"/>
        <v>0.15354281159892702</v>
      </c>
      <c r="D52" s="15">
        <f t="shared" si="6"/>
        <v>5.2877736412202218E-2</v>
      </c>
      <c r="E52" s="4">
        <f t="shared" si="7"/>
        <v>8.7973550791908615</v>
      </c>
      <c r="F52" s="14">
        <v>0.21948902000000001</v>
      </c>
      <c r="G52" s="15">
        <v>3.9184579999999997E-2</v>
      </c>
    </row>
    <row r="53" spans="1:7" x14ac:dyDescent="0.2">
      <c r="A53" s="13">
        <f t="shared" si="4"/>
        <v>0.29995698897417777</v>
      </c>
      <c r="B53" s="14">
        <v>0.11391999999999999</v>
      </c>
      <c r="C53" s="3">
        <f t="shared" si="5"/>
        <v>0.15164418622679987</v>
      </c>
      <c r="D53" s="15">
        <f t="shared" si="6"/>
        <v>5.1980390864999164E-2</v>
      </c>
      <c r="E53" s="4">
        <f t="shared" si="7"/>
        <v>8.688571858491521</v>
      </c>
      <c r="F53" s="14">
        <v>0.22228048</v>
      </c>
      <c r="G53" s="15">
        <v>3.8519610000000003E-2</v>
      </c>
    </row>
    <row r="54" spans="1:7" x14ac:dyDescent="0.2">
      <c r="A54" s="13">
        <f t="shared" si="4"/>
        <v>0.30372393214634419</v>
      </c>
      <c r="B54" s="14">
        <v>0.11289</v>
      </c>
      <c r="C54" s="3">
        <f t="shared" si="5"/>
        <v>0.14979159453825572</v>
      </c>
      <c r="D54" s="15">
        <f t="shared" si="6"/>
        <v>5.1083045317796102E-2</v>
      </c>
      <c r="E54" s="4">
        <f t="shared" si="7"/>
        <v>8.5824261735769269</v>
      </c>
      <c r="F54" s="14">
        <v>0.22507194</v>
      </c>
      <c r="G54" s="15">
        <v>3.7854640000000002E-2</v>
      </c>
    </row>
    <row r="55" spans="1:7" x14ac:dyDescent="0.2">
      <c r="A55" s="13">
        <f t="shared" si="4"/>
        <v>0.30749087531851049</v>
      </c>
      <c r="B55" s="14">
        <v>0.11186</v>
      </c>
      <c r="C55" s="3">
        <f t="shared" si="5"/>
        <v>0.14798339466802921</v>
      </c>
      <c r="D55" s="15">
        <f t="shared" si="6"/>
        <v>5.018568627606626E-2</v>
      </c>
      <c r="E55" s="4">
        <f t="shared" si="7"/>
        <v>8.4788239524968425</v>
      </c>
      <c r="F55" s="14">
        <v>0.22786339999999999</v>
      </c>
      <c r="G55" s="15">
        <v>3.7189659999999999E-2</v>
      </c>
    </row>
    <row r="56" spans="1:7" x14ac:dyDescent="0.2">
      <c r="A56" s="13">
        <f t="shared" si="4"/>
        <v>0.31125781849067691</v>
      </c>
      <c r="B56" s="14">
        <v>0.11083</v>
      </c>
      <c r="C56" s="3">
        <f t="shared" si="5"/>
        <v>0.1462180213414114</v>
      </c>
      <c r="D56" s="15">
        <f t="shared" si="6"/>
        <v>4.9288340728863199E-2</v>
      </c>
      <c r="E56" s="4">
        <f t="shared" si="7"/>
        <v>8.3776755116166743</v>
      </c>
      <c r="F56" s="14">
        <v>0.23065485999999999</v>
      </c>
      <c r="G56" s="15">
        <v>3.6524689999999999E-2</v>
      </c>
    </row>
    <row r="57" spans="1:7" x14ac:dyDescent="0.2">
      <c r="A57" s="13">
        <f t="shared" si="4"/>
        <v>0.31502476166284327</v>
      </c>
      <c r="B57" s="14">
        <v>0.10979999999999999</v>
      </c>
      <c r="C57" s="3">
        <f t="shared" si="5"/>
        <v>0.14449398149268308</v>
      </c>
      <c r="D57" s="15">
        <f t="shared" si="6"/>
        <v>4.8390995181660137E-2</v>
      </c>
      <c r="E57" s="4">
        <f t="shared" si="7"/>
        <v>8.2788953045721669</v>
      </c>
      <c r="F57" s="14">
        <v>0.23344632000000001</v>
      </c>
      <c r="G57" s="15">
        <v>3.5859719999999998E-2</v>
      </c>
    </row>
    <row r="58" spans="1:7" x14ac:dyDescent="0.2">
      <c r="A58" s="13">
        <f t="shared" si="4"/>
        <v>0.31879170483500957</v>
      </c>
      <c r="B58" s="14">
        <v>0.10911999999999999</v>
      </c>
      <c r="C58" s="3">
        <f t="shared" si="5"/>
        <v>0.14280985017867276</v>
      </c>
      <c r="D58" s="15">
        <f t="shared" si="6"/>
        <v>4.7452167459139369E-2</v>
      </c>
      <c r="E58" s="4">
        <f t="shared" si="7"/>
        <v>8.1824016881335542</v>
      </c>
      <c r="F58" s="14">
        <v>0.23623778000000001</v>
      </c>
      <c r="G58" s="15">
        <v>3.5164010000000002E-2</v>
      </c>
    </row>
    <row r="59" spans="1:7" x14ac:dyDescent="0.2">
      <c r="A59" s="13">
        <f t="shared" si="4"/>
        <v>0.32255864800717593</v>
      </c>
      <c r="B59" s="14">
        <v>0.10843999999999999</v>
      </c>
      <c r="C59" s="3">
        <f t="shared" si="5"/>
        <v>0.14116426676468519</v>
      </c>
      <c r="D59" s="15">
        <f t="shared" si="6"/>
        <v>4.6513339736618586E-2</v>
      </c>
      <c r="E59" s="4">
        <f t="shared" si="7"/>
        <v>8.0881167036753379</v>
      </c>
      <c r="F59" s="14">
        <v>0.23902924</v>
      </c>
      <c r="G59" s="15">
        <v>3.44683E-2</v>
      </c>
    </row>
    <row r="60" spans="1:7" x14ac:dyDescent="0.2">
      <c r="A60" s="13">
        <f t="shared" si="4"/>
        <v>0.32632559117934223</v>
      </c>
      <c r="B60" s="14">
        <v>0.10775999999999999</v>
      </c>
      <c r="C60" s="3">
        <f t="shared" si="5"/>
        <v>0.13955593136201302</v>
      </c>
      <c r="D60" s="15">
        <f t="shared" si="6"/>
        <v>4.5574512014097804E-2</v>
      </c>
      <c r="E60" s="4">
        <f t="shared" si="7"/>
        <v>7.9959658730607481</v>
      </c>
      <c r="F60" s="14">
        <v>0.2418207</v>
      </c>
      <c r="G60" s="15">
        <v>3.3772589999999998E-2</v>
      </c>
    </row>
    <row r="61" spans="1:7" x14ac:dyDescent="0.2">
      <c r="A61" s="13">
        <f t="shared" si="4"/>
        <v>0.33009253435150865</v>
      </c>
      <c r="B61" s="14">
        <v>0.10707999999999999</v>
      </c>
      <c r="C61" s="3">
        <f t="shared" si="5"/>
        <v>0.13798360149802355</v>
      </c>
      <c r="D61" s="15">
        <f t="shared" si="6"/>
        <v>4.4635684291577035E-2</v>
      </c>
      <c r="E61" s="4">
        <f t="shared" si="7"/>
        <v>7.905878007851773</v>
      </c>
      <c r="F61" s="14">
        <v>0.24461216</v>
      </c>
      <c r="G61" s="15">
        <v>3.3076880000000003E-2</v>
      </c>
    </row>
    <row r="62" spans="1:7" x14ac:dyDescent="0.2">
      <c r="A62" s="13">
        <f t="shared" si="4"/>
        <v>0.33385947752367495</v>
      </c>
      <c r="B62" s="14">
        <v>0.10639999999999999</v>
      </c>
      <c r="C62" s="3">
        <f t="shared" si="5"/>
        <v>0.13644608900142316</v>
      </c>
      <c r="D62" s="15">
        <f t="shared" si="6"/>
        <v>4.3696856569056253E-2</v>
      </c>
      <c r="E62" s="4">
        <f t="shared" si="7"/>
        <v>7.817785030847948</v>
      </c>
      <c r="F62" s="14">
        <v>0.24740361999999999</v>
      </c>
      <c r="G62" s="15">
        <v>3.2381170000000001E-2</v>
      </c>
    </row>
    <row r="63" spans="1:7" x14ac:dyDescent="0.2">
      <c r="A63" s="13">
        <f t="shared" si="4"/>
        <v>0.33762642069584131</v>
      </c>
      <c r="B63" s="14">
        <v>0.10571999999999999</v>
      </c>
      <c r="C63" s="3">
        <f t="shared" si="5"/>
        <v>0.13494225708676402</v>
      </c>
      <c r="D63" s="15">
        <f t="shared" si="6"/>
        <v>4.275802884653547E-2</v>
      </c>
      <c r="E63" s="4">
        <f t="shared" si="7"/>
        <v>7.7316218090409015</v>
      </c>
      <c r="F63" s="14">
        <v>0.25019508000000001</v>
      </c>
      <c r="G63" s="15">
        <v>3.1685459999999999E-2</v>
      </c>
    </row>
    <row r="64" spans="1:7" x14ac:dyDescent="0.2">
      <c r="A64" s="13">
        <f t="shared" si="4"/>
        <v>0.34139336386800762</v>
      </c>
      <c r="B64" s="14">
        <v>0.10503999999999999</v>
      </c>
      <c r="C64" s="3">
        <f t="shared" si="5"/>
        <v>0.13347101762358102</v>
      </c>
      <c r="D64" s="15">
        <f t="shared" si="6"/>
        <v>4.1819201124014695E-2</v>
      </c>
      <c r="E64" s="4">
        <f t="shared" si="7"/>
        <v>7.6473259971474228</v>
      </c>
      <c r="F64" s="14">
        <v>0.25298653999999998</v>
      </c>
      <c r="G64" s="15">
        <v>3.098975E-2</v>
      </c>
    </row>
    <row r="65" spans="1:7" x14ac:dyDescent="0.2">
      <c r="A65" s="13">
        <f t="shared" si="4"/>
        <v>0.34516030704017403</v>
      </c>
      <c r="B65" s="14">
        <v>0.10435999999999999</v>
      </c>
      <c r="C65" s="3">
        <f t="shared" si="5"/>
        <v>0.1320313285767514</v>
      </c>
      <c r="D65" s="15">
        <f t="shared" si="6"/>
        <v>4.0880373401493919E-2</v>
      </c>
      <c r="E65" s="4">
        <f t="shared" si="7"/>
        <v>7.564837890952874</v>
      </c>
      <c r="F65" s="14">
        <v>0.25577800000000001</v>
      </c>
      <c r="G65" s="15">
        <v>3.0294040000000001E-2</v>
      </c>
    </row>
    <row r="66" spans="1:7" x14ac:dyDescent="0.2">
      <c r="A66" s="13">
        <f t="shared" si="4"/>
        <v>0.34892725021234028</v>
      </c>
      <c r="B66" s="14">
        <v>0.10367999999999999</v>
      </c>
      <c r="C66" s="3">
        <f t="shared" si="5"/>
        <v>0.13062219160576274</v>
      </c>
      <c r="D66" s="15">
        <f t="shared" si="6"/>
        <v>3.9941545678973144E-2</v>
      </c>
      <c r="E66" s="4">
        <f t="shared" si="7"/>
        <v>7.4841002897593754</v>
      </c>
      <c r="F66" s="14">
        <v>0.25856945999999997</v>
      </c>
      <c r="G66" s="15">
        <v>2.9598329999999999E-2</v>
      </c>
    </row>
    <row r="67" spans="1:7" x14ac:dyDescent="0.2">
      <c r="A67" s="13">
        <f t="shared" ref="A67:A88" si="8">F67/$J$7*$J$2/2*0.0254</f>
        <v>0.35269419338450669</v>
      </c>
      <c r="B67" s="14">
        <v>0.10299999999999999</v>
      </c>
      <c r="C67" s="3">
        <f t="shared" ref="C67:C88" si="9">ATAN($J$3*0.0254/(2*3.14*A67))</f>
        <v>0.12924264981156974</v>
      </c>
      <c r="D67" s="15">
        <f t="shared" ref="D67:D88" si="10">G67*$J$8</f>
        <v>3.9002771934559477E-2</v>
      </c>
      <c r="E67" s="4">
        <f t="shared" ref="E67:E88" si="11">C67*180/PI()</f>
        <v>7.4050583672902102</v>
      </c>
      <c r="F67" s="14">
        <v>0.26136092</v>
      </c>
      <c r="G67" s="15">
        <v>2.890266E-2</v>
      </c>
    </row>
    <row r="68" spans="1:7" x14ac:dyDescent="0.2">
      <c r="A68" s="13">
        <f t="shared" si="8"/>
        <v>0.35646113655667305</v>
      </c>
      <c r="B68" s="14">
        <v>0.10267</v>
      </c>
      <c r="C68" s="3">
        <f t="shared" si="9"/>
        <v>0.12789178562062764</v>
      </c>
      <c r="D68" s="15">
        <f t="shared" si="10"/>
        <v>3.8124615604435731E-2</v>
      </c>
      <c r="E68" s="4">
        <f t="shared" si="11"/>
        <v>7.3276595504538742</v>
      </c>
      <c r="F68" s="14">
        <v>0.26415238000000002</v>
      </c>
      <c r="G68" s="15">
        <v>2.8251910000000002E-2</v>
      </c>
    </row>
    <row r="69" spans="1:7" x14ac:dyDescent="0.2">
      <c r="A69" s="13">
        <f t="shared" si="8"/>
        <v>0.36022807972883936</v>
      </c>
      <c r="B69" s="14">
        <v>0.10234</v>
      </c>
      <c r="C69" s="3">
        <f t="shared" si="9"/>
        <v>0.12656871879651449</v>
      </c>
      <c r="D69" s="15">
        <f t="shared" si="10"/>
        <v>3.7246459274311972E-2</v>
      </c>
      <c r="E69" s="4">
        <f t="shared" si="11"/>
        <v>7.2518534054184123</v>
      </c>
      <c r="F69" s="14">
        <v>0.26694383999999999</v>
      </c>
      <c r="G69" s="15">
        <v>2.760116E-2</v>
      </c>
    </row>
    <row r="70" spans="1:7" x14ac:dyDescent="0.2">
      <c r="A70" s="13">
        <f t="shared" si="8"/>
        <v>0.36399502290100577</v>
      </c>
      <c r="B70" s="14">
        <v>0.10201</v>
      </c>
      <c r="C70" s="3">
        <f t="shared" si="9"/>
        <v>0.12527260457030931</v>
      </c>
      <c r="D70" s="15">
        <f t="shared" si="10"/>
        <v>3.6368302944188226E-2</v>
      </c>
      <c r="E70" s="4">
        <f t="shared" si="11"/>
        <v>7.177591530489992</v>
      </c>
      <c r="F70" s="14">
        <v>0.26973530000000001</v>
      </c>
      <c r="G70" s="15">
        <v>2.6950410000000001E-2</v>
      </c>
    </row>
    <row r="71" spans="1:7" x14ac:dyDescent="0.2">
      <c r="A71" s="13">
        <f t="shared" si="8"/>
        <v>0.36776196607317202</v>
      </c>
      <c r="B71" s="14">
        <v>0.10168000000000001</v>
      </c>
      <c r="C71" s="3">
        <f t="shared" si="9"/>
        <v>0.12400263188157977</v>
      </c>
      <c r="D71" s="15">
        <f t="shared" si="10"/>
        <v>3.5490146614064466E-2</v>
      </c>
      <c r="E71" s="4">
        <f t="shared" si="11"/>
        <v>7.1048274553289072</v>
      </c>
      <c r="F71" s="14">
        <v>0.27252675999999998</v>
      </c>
      <c r="G71" s="15">
        <v>2.6299659999999999E-2</v>
      </c>
    </row>
    <row r="72" spans="1:7" x14ac:dyDescent="0.2">
      <c r="A72" s="13">
        <f t="shared" si="8"/>
        <v>0.37152890924533843</v>
      </c>
      <c r="B72" s="14">
        <v>0.10135</v>
      </c>
      <c r="C72" s="3">
        <f t="shared" si="9"/>
        <v>0.12275802172246295</v>
      </c>
      <c r="D72" s="15">
        <f t="shared" si="10"/>
        <v>3.4611990283940713E-2</v>
      </c>
      <c r="E72" s="4">
        <f t="shared" si="11"/>
        <v>7.0335165460724074</v>
      </c>
      <c r="F72" s="14">
        <v>0.27531822</v>
      </c>
      <c r="G72" s="15">
        <v>2.564891E-2</v>
      </c>
    </row>
    <row r="73" spans="1:7" x14ac:dyDescent="0.2">
      <c r="A73" s="13">
        <f t="shared" si="8"/>
        <v>0.37529585241750479</v>
      </c>
      <c r="B73" s="14">
        <v>0.10102</v>
      </c>
      <c r="C73" s="3">
        <f t="shared" si="9"/>
        <v>0.12153802557789672</v>
      </c>
      <c r="D73" s="15">
        <f t="shared" si="10"/>
        <v>3.3733833953816961E-2</v>
      </c>
      <c r="E73" s="4">
        <f t="shared" si="11"/>
        <v>6.963615915966531</v>
      </c>
      <c r="F73" s="14">
        <v>0.27810968000000003</v>
      </c>
      <c r="G73" s="15">
        <v>2.4998159999999998E-2</v>
      </c>
    </row>
    <row r="74" spans="1:7" x14ac:dyDescent="0.2">
      <c r="A74" s="13">
        <f t="shared" si="8"/>
        <v>0.3790627955896711</v>
      </c>
      <c r="B74" s="14">
        <v>0.10069</v>
      </c>
      <c r="C74" s="3">
        <f t="shared" si="9"/>
        <v>0.12034192395558532</v>
      </c>
      <c r="D74" s="15">
        <f t="shared" si="10"/>
        <v>3.2855677623693208E-2</v>
      </c>
      <c r="E74" s="4">
        <f t="shared" si="11"/>
        <v>6.895084341139337</v>
      </c>
      <c r="F74" s="14">
        <v>0.28090113999999999</v>
      </c>
      <c r="G74" s="15">
        <v>2.434741E-2</v>
      </c>
    </row>
    <row r="75" spans="1:7" x14ac:dyDescent="0.2">
      <c r="A75" s="13">
        <f t="shared" si="8"/>
        <v>0.38282973876183751</v>
      </c>
      <c r="B75" s="14">
        <v>0.10036</v>
      </c>
      <c r="C75" s="3">
        <f t="shared" si="9"/>
        <v>0.1191690249997657</v>
      </c>
      <c r="D75" s="15">
        <f t="shared" si="10"/>
        <v>3.1977521293569462E-2</v>
      </c>
      <c r="E75" s="4">
        <f t="shared" si="11"/>
        <v>6.8278821811755712</v>
      </c>
      <c r="F75" s="14">
        <v>0.28369260000000002</v>
      </c>
      <c r="G75" s="15">
        <v>2.3696660000000001E-2</v>
      </c>
    </row>
    <row r="76" spans="1:7" x14ac:dyDescent="0.2">
      <c r="A76" s="13">
        <f t="shared" si="8"/>
        <v>0.38659668193400382</v>
      </c>
      <c r="B76" s="14">
        <v>0.10002999999999999</v>
      </c>
      <c r="C76" s="3">
        <f t="shared" si="9"/>
        <v>0.1180186631832819</v>
      </c>
      <c r="D76" s="15">
        <f t="shared" si="10"/>
        <v>3.1099364963445706E-2</v>
      </c>
      <c r="E76" s="4">
        <f t="shared" si="11"/>
        <v>6.7619713041780463</v>
      </c>
      <c r="F76" s="14">
        <v>0.28648405999999998</v>
      </c>
      <c r="G76" s="15">
        <v>2.3045909999999999E-2</v>
      </c>
    </row>
    <row r="77" spans="1:7" x14ac:dyDescent="0.2">
      <c r="A77" s="13">
        <f t="shared" si="8"/>
        <v>0.39036362510617018</v>
      </c>
      <c r="B77" s="14">
        <v>9.9699999999999997E-2</v>
      </c>
      <c r="C77" s="3">
        <f t="shared" si="9"/>
        <v>0.11689019807288087</v>
      </c>
      <c r="D77" s="15">
        <f t="shared" si="10"/>
        <v>3.0221235622375511E-2</v>
      </c>
      <c r="E77" s="4">
        <f t="shared" si="11"/>
        <v>6.6973150160243025</v>
      </c>
      <c r="F77" s="14">
        <v>0.28927552000000001</v>
      </c>
      <c r="G77" s="15">
        <v>2.2395180000000001E-2</v>
      </c>
    </row>
    <row r="78" spans="1:7" x14ac:dyDescent="0.2">
      <c r="A78" s="13">
        <f t="shared" si="8"/>
        <v>0.39413056827833648</v>
      </c>
      <c r="B78" s="14">
        <v>9.9650000000000002E-2</v>
      </c>
      <c r="C78" s="3">
        <f t="shared" si="9"/>
        <v>0.11578301316301548</v>
      </c>
      <c r="D78" s="15">
        <f t="shared" si="10"/>
        <v>2.9319774244504944E-2</v>
      </c>
      <c r="E78" s="4">
        <f t="shared" si="11"/>
        <v>6.6338779935484435</v>
      </c>
      <c r="F78" s="14">
        <v>0.29206697999999998</v>
      </c>
      <c r="G78" s="15">
        <v>2.1727159999999999E-2</v>
      </c>
    </row>
    <row r="79" spans="1:7" x14ac:dyDescent="0.2">
      <c r="A79" s="13">
        <f t="shared" si="8"/>
        <v>0.39789751145050289</v>
      </c>
      <c r="B79" s="14">
        <v>9.9599999999999994E-2</v>
      </c>
      <c r="C79" s="3">
        <f t="shared" si="9"/>
        <v>0.11469651477378139</v>
      </c>
      <c r="D79" s="15">
        <f t="shared" si="10"/>
        <v>2.8418312866634383E-2</v>
      </c>
      <c r="E79" s="4">
        <f t="shared" si="11"/>
        <v>6.571626221397568</v>
      </c>
      <c r="F79" s="14">
        <v>0.29485844</v>
      </c>
      <c r="G79" s="15">
        <v>2.105914E-2</v>
      </c>
    </row>
    <row r="80" spans="1:7" x14ac:dyDescent="0.2">
      <c r="A80" s="13">
        <f t="shared" si="8"/>
        <v>0.40166445462266925</v>
      </c>
      <c r="B80" s="14">
        <v>9.955E-2</v>
      </c>
      <c r="C80" s="3">
        <f t="shared" si="9"/>
        <v>0.11363013100893044</v>
      </c>
      <c r="D80" s="15">
        <f t="shared" si="10"/>
        <v>2.7516851488763816E-2</v>
      </c>
      <c r="E80" s="4">
        <f t="shared" si="11"/>
        <v>6.510526932330337</v>
      </c>
      <c r="F80" s="14">
        <v>0.29764990000000002</v>
      </c>
      <c r="G80" s="15">
        <v>2.0391119999999999E-2</v>
      </c>
    </row>
    <row r="81" spans="1:7" x14ac:dyDescent="0.2">
      <c r="A81" s="13">
        <f t="shared" si="8"/>
        <v>0.40543139779483556</v>
      </c>
      <c r="B81" s="14">
        <v>9.9500000000000005E-2</v>
      </c>
      <c r="C81" s="3">
        <f t="shared" si="9"/>
        <v>0.11258331077019179</v>
      </c>
      <c r="D81" s="15">
        <f t="shared" si="10"/>
        <v>2.6615390110893256E-2</v>
      </c>
      <c r="E81" s="4">
        <f t="shared" si="11"/>
        <v>6.4505485507417353</v>
      </c>
      <c r="F81" s="14">
        <v>0.30044135999999999</v>
      </c>
      <c r="G81" s="15">
        <v>1.97231E-2</v>
      </c>
    </row>
    <row r="82" spans="1:7" x14ac:dyDescent="0.2">
      <c r="A82" s="13">
        <f t="shared" si="8"/>
        <v>0.40919834096700197</v>
      </c>
      <c r="B82" s="14">
        <v>9.9449999999999997E-2</v>
      </c>
      <c r="C82" s="3">
        <f t="shared" si="9"/>
        <v>0.11155552282439817</v>
      </c>
      <c r="D82" s="15">
        <f t="shared" si="10"/>
        <v>2.5713928733022692E-2</v>
      </c>
      <c r="E82" s="4">
        <f t="shared" si="11"/>
        <v>6.3916606392133399</v>
      </c>
      <c r="F82" s="14">
        <v>0.30323282000000001</v>
      </c>
      <c r="G82" s="15">
        <v>1.9055079999999999E-2</v>
      </c>
    </row>
    <row r="83" spans="1:7" x14ac:dyDescent="0.2">
      <c r="A83" s="13">
        <f t="shared" si="8"/>
        <v>0.41296528413916828</v>
      </c>
      <c r="B83" s="14">
        <v>9.9400000000000002E-2</v>
      </c>
      <c r="C83" s="3">
        <f t="shared" si="9"/>
        <v>0.1105462549201615</v>
      </c>
      <c r="D83" s="15">
        <f t="shared" si="10"/>
        <v>2.4812467355152128E-2</v>
      </c>
      <c r="E83" s="4">
        <f t="shared" si="11"/>
        <v>6.3338338479025653</v>
      </c>
      <c r="F83" s="14">
        <v>0.30602427999999998</v>
      </c>
      <c r="G83" s="15">
        <v>1.838706E-2</v>
      </c>
    </row>
    <row r="84" spans="1:7" x14ac:dyDescent="0.2">
      <c r="A84" s="13">
        <f t="shared" si="8"/>
        <v>0.41673222731133458</v>
      </c>
      <c r="B84" s="14">
        <v>9.9500000000000005E-2</v>
      </c>
      <c r="C84" s="3">
        <f t="shared" si="9"/>
        <v>0.10955501295106708</v>
      </c>
      <c r="D84" s="15">
        <f t="shared" si="10"/>
        <v>2.2776467132889333E-2</v>
      </c>
      <c r="E84" s="4">
        <f t="shared" si="11"/>
        <v>6.2770398665972174</v>
      </c>
      <c r="F84" s="14">
        <v>0.30881574000000001</v>
      </c>
      <c r="G84" s="15">
        <v>1.6878299999999999E-2</v>
      </c>
    </row>
    <row r="85" spans="1:7" x14ac:dyDescent="0.2">
      <c r="A85" s="13">
        <f t="shared" si="8"/>
        <v>0.42049917048350094</v>
      </c>
      <c r="B85" s="14">
        <v>9.9599999999999994E-2</v>
      </c>
      <c r="C85" s="3">
        <f t="shared" si="9"/>
        <v>0.1085813201625658</v>
      </c>
      <c r="D85" s="15">
        <f t="shared" si="10"/>
        <v>2.0044662120863331E-2</v>
      </c>
      <c r="E85" s="4">
        <f t="shared" si="11"/>
        <v>6.2212513792737711</v>
      </c>
      <c r="F85" s="14">
        <v>0.31160719999999997</v>
      </c>
      <c r="G85" s="15">
        <v>1.485392E-2</v>
      </c>
    </row>
    <row r="86" spans="1:7" x14ac:dyDescent="0.2">
      <c r="A86" s="13">
        <f t="shared" si="8"/>
        <v>0.42426611365566735</v>
      </c>
      <c r="B86" s="14">
        <v>9.9699999999999997E-2</v>
      </c>
      <c r="C86" s="3">
        <f t="shared" si="9"/>
        <v>0.10762471639993601</v>
      </c>
      <c r="D86" s="15">
        <f t="shared" si="10"/>
        <v>1.6805570858172521E-2</v>
      </c>
      <c r="E86" s="4">
        <f t="shared" si="11"/>
        <v>6.1664420210087485</v>
      </c>
      <c r="F86" s="14">
        <v>0.31439866</v>
      </c>
      <c r="G86" s="15">
        <v>1.245362E-2</v>
      </c>
    </row>
    <row r="87" spans="1:7" x14ac:dyDescent="0.2">
      <c r="A87" s="13">
        <f t="shared" si="8"/>
        <v>0.42803305682783366</v>
      </c>
      <c r="B87" s="14">
        <v>9.98E-2</v>
      </c>
      <c r="C87" s="3">
        <f t="shared" si="9"/>
        <v>0.10668475739486559</v>
      </c>
      <c r="D87" s="15">
        <f t="shared" si="10"/>
        <v>1.0598169507132254E-2</v>
      </c>
      <c r="E87" s="4">
        <f t="shared" si="11"/>
        <v>6.1125863371028979</v>
      </c>
      <c r="F87" s="14">
        <v>0.31719012000000002</v>
      </c>
      <c r="G87" s="15">
        <v>7.85368E-3</v>
      </c>
    </row>
    <row r="88" spans="1:7" x14ac:dyDescent="0.2">
      <c r="A88" s="13">
        <f t="shared" si="8"/>
        <v>0.43179999999999996</v>
      </c>
      <c r="B88" s="14">
        <v>9.9900000000000003E-2</v>
      </c>
      <c r="C88" s="3">
        <f t="shared" si="9"/>
        <v>0.10576101408836872</v>
      </c>
      <c r="D88" s="15">
        <f t="shared" si="10"/>
        <v>1.1345388443922302E-3</v>
      </c>
      <c r="E88" s="4">
        <f t="shared" si="11"/>
        <v>6.0596597442871669</v>
      </c>
      <c r="F88" s="14">
        <v>0.31998157999999999</v>
      </c>
      <c r="G88" s="15">
        <v>8.4073999999999998E-4</v>
      </c>
    </row>
  </sheetData>
  <pageMargins left="0.7" right="0.7" top="0.75" bottom="0.75" header="0.511811023622047" footer="0.511811023622047"/>
  <pageSetup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zoomScale="140" zoomScaleNormal="140" workbookViewId="0">
      <selection activeCell="E8" sqref="E8"/>
    </sheetView>
  </sheetViews>
  <sheetFormatPr baseColWidth="10" defaultColWidth="8.83203125" defaultRowHeight="15" x14ac:dyDescent="0.2"/>
  <cols>
    <col min="11" max="12" width="7.33203125" customWidth="1"/>
    <col min="13" max="13" width="10.33203125" customWidth="1"/>
    <col min="14" max="14" width="9.6640625" customWidth="1"/>
    <col min="15" max="15" width="7.83203125" customWidth="1"/>
    <col min="16" max="16" width="10.6640625" customWidth="1"/>
    <col min="17" max="17" width="7.83203125" customWidth="1"/>
    <col min="18" max="18" width="7.5" customWidth="1"/>
    <col min="19" max="19" width="7.33203125" customWidth="1"/>
    <col min="20" max="20" width="10.33203125" customWidth="1"/>
    <col min="21" max="21" width="9.6640625" customWidth="1"/>
    <col min="22" max="22" width="8" customWidth="1"/>
    <col min="23" max="23" width="10.6640625" customWidth="1"/>
    <col min="24" max="24" width="7.83203125" customWidth="1"/>
    <col min="25" max="25" width="7.5" customWidth="1"/>
  </cols>
  <sheetData>
    <row r="1" spans="1:8" x14ac:dyDescent="0.2">
      <c r="A1" t="s">
        <v>18</v>
      </c>
      <c r="B1" t="s">
        <v>19</v>
      </c>
      <c r="C1" t="s">
        <v>20</v>
      </c>
      <c r="D1" t="s">
        <v>21</v>
      </c>
    </row>
    <row r="3" spans="1:8" x14ac:dyDescent="0.2">
      <c r="A3" t="s">
        <v>22</v>
      </c>
      <c r="B3" t="s">
        <v>23</v>
      </c>
      <c r="C3" t="s">
        <v>24</v>
      </c>
      <c r="D3">
        <v>4412</v>
      </c>
    </row>
    <row r="5" spans="1:8" x14ac:dyDescent="0.2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7" spans="1:8" x14ac:dyDescent="0.2">
      <c r="A7" t="s">
        <v>31</v>
      </c>
      <c r="B7" t="s">
        <v>32</v>
      </c>
      <c r="C7" t="s">
        <v>33</v>
      </c>
      <c r="D7" t="s">
        <v>34</v>
      </c>
      <c r="E7" t="s">
        <v>35</v>
      </c>
    </row>
    <row r="8" spans="1:8" x14ac:dyDescent="0.2">
      <c r="A8" t="s">
        <v>36</v>
      </c>
      <c r="B8">
        <v>0</v>
      </c>
      <c r="C8" t="s">
        <v>37</v>
      </c>
      <c r="D8" t="s">
        <v>38</v>
      </c>
      <c r="E8" t="s">
        <v>39</v>
      </c>
      <c r="F8" t="s">
        <v>40</v>
      </c>
      <c r="G8">
        <v>0</v>
      </c>
    </row>
    <row r="10" spans="1:8" x14ac:dyDescent="0.2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</row>
    <row r="11" spans="1:8" x14ac:dyDescent="0.2">
      <c r="A11" t="s">
        <v>49</v>
      </c>
      <c r="B11" t="s">
        <v>50</v>
      </c>
      <c r="C11" t="s">
        <v>51</v>
      </c>
      <c r="D11" t="s">
        <v>51</v>
      </c>
      <c r="E11" t="s">
        <v>50</v>
      </c>
      <c r="F11" t="s">
        <v>50</v>
      </c>
      <c r="G11" t="s">
        <v>50</v>
      </c>
    </row>
    <row r="12" spans="1:8" x14ac:dyDescent="0.2">
      <c r="A12">
        <v>-13</v>
      </c>
      <c r="B12">
        <v>-0.56089999999999995</v>
      </c>
      <c r="C12">
        <v>9.3479999999999994E-2</v>
      </c>
      <c r="D12">
        <v>9.1429999999999997E-2</v>
      </c>
      <c r="E12">
        <v>-5.0099999999999999E-2</v>
      </c>
      <c r="F12">
        <v>1</v>
      </c>
      <c r="G12">
        <v>1.78E-2</v>
      </c>
      <c r="H12">
        <f t="shared" ref="H12:H36" si="0">A12*PI()/180</f>
        <v>-0.22689280275926285</v>
      </c>
    </row>
    <row r="13" spans="1:8" x14ac:dyDescent="0.2">
      <c r="A13">
        <v>-12</v>
      </c>
      <c r="B13">
        <v>-0.51980000000000004</v>
      </c>
      <c r="C13">
        <v>8.7190000000000004E-2</v>
      </c>
      <c r="D13">
        <v>8.523E-2</v>
      </c>
      <c r="E13">
        <v>-5.2900000000000003E-2</v>
      </c>
      <c r="F13">
        <v>1</v>
      </c>
      <c r="G13">
        <v>1.8599999999999998E-2</v>
      </c>
      <c r="H13">
        <f t="shared" si="0"/>
        <v>-0.20943951023931953</v>
      </c>
    </row>
    <row r="14" spans="1:8" x14ac:dyDescent="0.2">
      <c r="A14">
        <v>-11</v>
      </c>
      <c r="B14">
        <v>-0.46339999999999998</v>
      </c>
      <c r="C14">
        <v>8.5930000000000006E-2</v>
      </c>
      <c r="D14">
        <v>8.4040000000000004E-2</v>
      </c>
      <c r="E14">
        <v>-5.1499999999999997E-2</v>
      </c>
      <c r="F14">
        <v>1</v>
      </c>
      <c r="G14">
        <v>1.9199999999999998E-2</v>
      </c>
      <c r="H14">
        <f t="shared" si="0"/>
        <v>-0.19198621771937624</v>
      </c>
    </row>
    <row r="15" spans="1:8" x14ac:dyDescent="0.2">
      <c r="A15">
        <v>-8</v>
      </c>
      <c r="B15">
        <v>-0.40239999999999998</v>
      </c>
      <c r="C15">
        <v>1.286E-2</v>
      </c>
      <c r="D15">
        <v>7.62E-3</v>
      </c>
      <c r="E15">
        <v>-0.1081</v>
      </c>
      <c r="F15">
        <v>0.94510000000000005</v>
      </c>
      <c r="G15">
        <v>2.6200000000000001E-2</v>
      </c>
      <c r="H15">
        <f t="shared" si="0"/>
        <v>-0.13962634015954636</v>
      </c>
    </row>
    <row r="16" spans="1:8" x14ac:dyDescent="0.2">
      <c r="A16">
        <v>-7</v>
      </c>
      <c r="B16">
        <v>-0.29709999999999998</v>
      </c>
      <c r="C16">
        <v>1.1299999999999999E-2</v>
      </c>
      <c r="D16">
        <v>5.8500000000000002E-3</v>
      </c>
      <c r="E16">
        <v>-0.1069</v>
      </c>
      <c r="F16">
        <v>0.92069999999999996</v>
      </c>
      <c r="G16">
        <v>3.0700000000000002E-2</v>
      </c>
      <c r="H16">
        <f t="shared" si="0"/>
        <v>-0.12217304763960307</v>
      </c>
    </row>
    <row r="17" spans="1:8" x14ac:dyDescent="0.2">
      <c r="A17">
        <v>-6</v>
      </c>
      <c r="B17">
        <v>-0.18859999999999999</v>
      </c>
      <c r="C17">
        <v>1.01E-2</v>
      </c>
      <c r="D17">
        <v>4.4799999999999996E-3</v>
      </c>
      <c r="E17">
        <v>-0.1061</v>
      </c>
      <c r="F17">
        <v>0.89449999999999996</v>
      </c>
      <c r="G17">
        <v>3.7199999999999997E-2</v>
      </c>
      <c r="H17">
        <f t="shared" si="0"/>
        <v>-0.10471975511965977</v>
      </c>
    </row>
    <row r="18" spans="1:8" x14ac:dyDescent="0.2">
      <c r="A18">
        <v>-5</v>
      </c>
      <c r="B18">
        <v>-7.8399999999999997E-2</v>
      </c>
      <c r="C18">
        <v>9.2399999999999999E-3</v>
      </c>
      <c r="D18">
        <v>3.4399999999999999E-3</v>
      </c>
      <c r="E18">
        <v>-0.1055</v>
      </c>
      <c r="F18">
        <v>0.86309999999999998</v>
      </c>
      <c r="G18">
        <v>4.7100000000000003E-2</v>
      </c>
      <c r="H18">
        <f t="shared" si="0"/>
        <v>-8.7266462599716474E-2</v>
      </c>
    </row>
    <row r="19" spans="1:8" x14ac:dyDescent="0.2">
      <c r="A19">
        <v>-4</v>
      </c>
      <c r="B19">
        <v>3.2300000000000002E-2</v>
      </c>
      <c r="C19">
        <v>8.4700000000000001E-3</v>
      </c>
      <c r="D19">
        <v>2.5899999999999999E-3</v>
      </c>
      <c r="E19">
        <v>-0.1051</v>
      </c>
      <c r="F19">
        <v>0.82630000000000003</v>
      </c>
      <c r="G19">
        <v>6.5600000000000006E-2</v>
      </c>
      <c r="H19">
        <f t="shared" si="0"/>
        <v>-6.9813170079773182E-2</v>
      </c>
    </row>
    <row r="20" spans="1:8" x14ac:dyDescent="0.2">
      <c r="A20">
        <v>-3</v>
      </c>
      <c r="B20">
        <v>0.1434</v>
      </c>
      <c r="C20">
        <v>7.9699999999999997E-3</v>
      </c>
      <c r="D20">
        <v>2.0300000000000001E-3</v>
      </c>
      <c r="E20">
        <v>-0.1046</v>
      </c>
      <c r="F20">
        <v>0.78400000000000003</v>
      </c>
      <c r="G20">
        <v>9.9199999999999997E-2</v>
      </c>
      <c r="H20">
        <f t="shared" si="0"/>
        <v>-5.2359877559829883E-2</v>
      </c>
    </row>
    <row r="21" spans="1:8" x14ac:dyDescent="0.2">
      <c r="A21">
        <v>-2</v>
      </c>
      <c r="B21">
        <v>0.25409999999999999</v>
      </c>
      <c r="C21">
        <v>7.6099999999999996E-3</v>
      </c>
      <c r="D21">
        <v>1.6999999999999999E-3</v>
      </c>
      <c r="E21">
        <v>-0.1043</v>
      </c>
      <c r="F21">
        <v>0.73599999999999999</v>
      </c>
      <c r="G21">
        <v>0.16189999999999999</v>
      </c>
      <c r="H21">
        <f t="shared" si="0"/>
        <v>-3.4906585039886591E-2</v>
      </c>
    </row>
    <row r="22" spans="1:8" x14ac:dyDescent="0.2">
      <c r="A22">
        <v>-1</v>
      </c>
      <c r="B22">
        <v>0.36420000000000002</v>
      </c>
      <c r="C22">
        <v>7.3899999999999999E-3</v>
      </c>
      <c r="D22">
        <v>1.56E-3</v>
      </c>
      <c r="E22">
        <v>-0.1038</v>
      </c>
      <c r="F22">
        <v>0.68359999999999999</v>
      </c>
      <c r="G22">
        <v>0.25940000000000002</v>
      </c>
      <c r="H22">
        <f t="shared" si="0"/>
        <v>-1.7453292519943295E-2</v>
      </c>
    </row>
    <row r="23" spans="1:8" x14ac:dyDescent="0.2">
      <c r="A23">
        <v>0</v>
      </c>
      <c r="B23">
        <v>0.47260000000000002</v>
      </c>
      <c r="C23">
        <v>6.94E-3</v>
      </c>
      <c r="D23">
        <v>1.58E-3</v>
      </c>
      <c r="E23">
        <v>-0.10340000000000001</v>
      </c>
      <c r="F23">
        <v>0.62990000000000002</v>
      </c>
      <c r="G23">
        <v>0.4889</v>
      </c>
      <c r="H23">
        <f t="shared" si="0"/>
        <v>0</v>
      </c>
    </row>
    <row r="24" spans="1:8" x14ac:dyDescent="0.2">
      <c r="A24">
        <v>3</v>
      </c>
      <c r="B24">
        <v>0.80310000000000004</v>
      </c>
      <c r="C24">
        <v>7.11E-3</v>
      </c>
      <c r="D24">
        <v>2.3600000000000001E-3</v>
      </c>
      <c r="E24">
        <v>-0.1019</v>
      </c>
      <c r="F24">
        <v>0.50390000000000001</v>
      </c>
      <c r="G24">
        <v>1</v>
      </c>
      <c r="H24">
        <f t="shared" si="0"/>
        <v>5.2359877559829883E-2</v>
      </c>
    </row>
    <row r="25" spans="1:8" x14ac:dyDescent="0.2">
      <c r="A25">
        <v>4</v>
      </c>
      <c r="B25">
        <v>0.91039999999999999</v>
      </c>
      <c r="C25">
        <v>7.6499999999999997E-3</v>
      </c>
      <c r="D25">
        <v>2.7599999999999999E-3</v>
      </c>
      <c r="E25">
        <v>-0.1011</v>
      </c>
      <c r="F25">
        <v>0.47349999999999998</v>
      </c>
      <c r="G25">
        <v>1</v>
      </c>
      <c r="H25">
        <f t="shared" si="0"/>
        <v>6.9813170079773182E-2</v>
      </c>
    </row>
    <row r="26" spans="1:8" x14ac:dyDescent="0.2">
      <c r="A26">
        <v>5</v>
      </c>
      <c r="B26">
        <v>1.0168999999999999</v>
      </c>
      <c r="C26">
        <v>8.2199999999999999E-3</v>
      </c>
      <c r="D26">
        <v>3.2499999999999999E-3</v>
      </c>
      <c r="E26">
        <v>-0.1002</v>
      </c>
      <c r="F26">
        <v>0.4395</v>
      </c>
      <c r="G26">
        <v>1</v>
      </c>
      <c r="H26">
        <f t="shared" si="0"/>
        <v>8.7266462599716474E-2</v>
      </c>
    </row>
    <row r="27" spans="1:8" x14ac:dyDescent="0.2">
      <c r="A27">
        <v>6</v>
      </c>
      <c r="B27">
        <v>1.1208</v>
      </c>
      <c r="C27">
        <v>8.9300000000000004E-3</v>
      </c>
      <c r="D27">
        <v>3.8400000000000001E-3</v>
      </c>
      <c r="E27">
        <v>-9.8900000000000002E-2</v>
      </c>
      <c r="F27">
        <v>0.39400000000000002</v>
      </c>
      <c r="G27">
        <v>1</v>
      </c>
      <c r="H27">
        <f t="shared" si="0"/>
        <v>0.10471975511965977</v>
      </c>
    </row>
    <row r="28" spans="1:8" x14ac:dyDescent="0.2">
      <c r="A28">
        <v>7</v>
      </c>
      <c r="B28">
        <v>1.2194</v>
      </c>
      <c r="C28">
        <v>9.9600000000000001E-3</v>
      </c>
      <c r="D28">
        <v>4.6699999999999997E-3</v>
      </c>
      <c r="E28">
        <v>-9.69E-2</v>
      </c>
      <c r="F28">
        <v>0.32769999999999999</v>
      </c>
      <c r="G28">
        <v>1</v>
      </c>
      <c r="H28">
        <f t="shared" si="0"/>
        <v>0.12217304763960307</v>
      </c>
    </row>
    <row r="29" spans="1:8" x14ac:dyDescent="0.2">
      <c r="A29">
        <v>8</v>
      </c>
      <c r="B29">
        <v>1.3035000000000001</v>
      </c>
      <c r="C29">
        <v>1.192E-2</v>
      </c>
      <c r="D29">
        <v>6.1199999999999996E-3</v>
      </c>
      <c r="E29">
        <v>-9.2700000000000005E-2</v>
      </c>
      <c r="F29">
        <v>0.221</v>
      </c>
      <c r="G29">
        <v>1</v>
      </c>
      <c r="H29">
        <f t="shared" si="0"/>
        <v>0.13962634015954636</v>
      </c>
    </row>
    <row r="30" spans="1:8" x14ac:dyDescent="0.2">
      <c r="A30">
        <v>9</v>
      </c>
      <c r="B30">
        <v>1.3692</v>
      </c>
      <c r="C30">
        <v>1.4800000000000001E-2</v>
      </c>
      <c r="D30">
        <v>8.3499999999999998E-3</v>
      </c>
      <c r="E30">
        <v>-8.5699999999999998E-2</v>
      </c>
      <c r="F30">
        <v>0.11</v>
      </c>
      <c r="G30">
        <v>1</v>
      </c>
      <c r="H30">
        <f t="shared" si="0"/>
        <v>0.15707963267948966</v>
      </c>
    </row>
    <row r="31" spans="1:8" x14ac:dyDescent="0.2">
      <c r="A31">
        <v>10</v>
      </c>
      <c r="B31">
        <v>1.4235</v>
      </c>
      <c r="C31">
        <v>1.754E-2</v>
      </c>
      <c r="D31">
        <v>1.0840000000000001E-2</v>
      </c>
      <c r="E31">
        <v>-7.6899999999999996E-2</v>
      </c>
      <c r="F31">
        <v>5.8999999999999997E-2</v>
      </c>
      <c r="G31">
        <v>1</v>
      </c>
      <c r="H31">
        <f t="shared" si="0"/>
        <v>0.17453292519943295</v>
      </c>
    </row>
    <row r="32" spans="1:8" x14ac:dyDescent="0.2">
      <c r="A32">
        <v>11</v>
      </c>
      <c r="B32">
        <v>1.476</v>
      </c>
      <c r="C32">
        <v>2.0559999999999998E-2</v>
      </c>
      <c r="D32">
        <v>1.3860000000000001E-2</v>
      </c>
      <c r="E32">
        <v>-6.9000000000000006E-2</v>
      </c>
      <c r="F32">
        <v>3.9399999999999998E-2</v>
      </c>
      <c r="G32">
        <v>1</v>
      </c>
      <c r="H32">
        <f t="shared" si="0"/>
        <v>0.19198621771937624</v>
      </c>
    </row>
    <row r="33" spans="1:8" x14ac:dyDescent="0.2">
      <c r="A33">
        <v>12</v>
      </c>
      <c r="B33">
        <v>1.5216000000000001</v>
      </c>
      <c r="C33">
        <v>2.4340000000000001E-2</v>
      </c>
      <c r="D33">
        <v>1.7760000000000001E-2</v>
      </c>
      <c r="E33">
        <v>-6.1600000000000002E-2</v>
      </c>
      <c r="F33">
        <v>3.04E-2</v>
      </c>
      <c r="G33">
        <v>1</v>
      </c>
      <c r="H33">
        <f t="shared" si="0"/>
        <v>0.20943951023931953</v>
      </c>
    </row>
    <row r="34" spans="1:8" x14ac:dyDescent="0.2">
      <c r="A34">
        <v>13</v>
      </c>
      <c r="B34">
        <v>1.556</v>
      </c>
      <c r="C34">
        <v>2.9520000000000001E-2</v>
      </c>
      <c r="D34">
        <v>2.3130000000000001E-2</v>
      </c>
      <c r="E34">
        <v>-5.5E-2</v>
      </c>
      <c r="F34">
        <v>2.5000000000000001E-2</v>
      </c>
      <c r="G34">
        <v>1</v>
      </c>
      <c r="H34">
        <f t="shared" si="0"/>
        <v>0.22689280275926285</v>
      </c>
    </row>
    <row r="35" spans="1:8" x14ac:dyDescent="0.2">
      <c r="A35">
        <v>14</v>
      </c>
      <c r="B35">
        <v>1.5802</v>
      </c>
      <c r="C35">
        <v>3.6339999999999997E-2</v>
      </c>
      <c r="D35">
        <v>3.024E-2</v>
      </c>
      <c r="E35">
        <v>-4.9799999999999997E-2</v>
      </c>
      <c r="F35">
        <v>2.1700000000000001E-2</v>
      </c>
      <c r="G35">
        <v>1</v>
      </c>
      <c r="H35">
        <f t="shared" si="0"/>
        <v>0.24434609527920614</v>
      </c>
    </row>
    <row r="36" spans="1:8" x14ac:dyDescent="0.2">
      <c r="A36">
        <v>15</v>
      </c>
      <c r="B36">
        <v>1.5855999999999999</v>
      </c>
      <c r="C36">
        <v>4.6030000000000001E-2</v>
      </c>
      <c r="D36">
        <v>4.0230000000000002E-2</v>
      </c>
      <c r="E36">
        <v>-4.6199999999999998E-2</v>
      </c>
      <c r="F36">
        <v>1.9300000000000001E-2</v>
      </c>
      <c r="G36">
        <v>1</v>
      </c>
      <c r="H36">
        <f t="shared" si="0"/>
        <v>0.26179938779914941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"/>
  <sheetViews>
    <sheetView zoomScale="140" zoomScaleNormal="140" workbookViewId="0">
      <selection activeCell="Q28" sqref="Q28"/>
    </sheetView>
  </sheetViews>
  <sheetFormatPr baseColWidth="10" defaultColWidth="8.83203125" defaultRowHeight="15" x14ac:dyDescent="0.2"/>
  <cols>
    <col min="1" max="1" width="7.33203125" customWidth="1"/>
    <col min="2" max="2" width="10.33203125" customWidth="1"/>
    <col min="3" max="3" width="9.6640625" customWidth="1"/>
    <col min="4" max="4" width="8" customWidth="1"/>
    <col min="5" max="5" width="10.6640625" customWidth="1"/>
    <col min="6" max="6" width="7.83203125" customWidth="1"/>
    <col min="7" max="7" width="7.5" customWidth="1"/>
  </cols>
  <sheetData>
    <row r="2" spans="1:4" x14ac:dyDescent="0.2">
      <c r="A2" t="s">
        <v>18</v>
      </c>
      <c r="B2" t="s">
        <v>19</v>
      </c>
      <c r="C2" t="s">
        <v>20</v>
      </c>
      <c r="D2" t="s">
        <v>21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4934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Section</vt:lpstr>
      <vt:lpstr>Cl</vt:lpstr>
      <vt:lpstr>ClCd</vt:lpstr>
      <vt:lpstr>ClCd!cl</vt:lpstr>
      <vt:lpstr>Cl!new.</vt:lpstr>
      <vt:lpstr>Cl!newa</vt:lpstr>
      <vt:lpstr>Cl!sect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Eliott</dc:creator>
  <dc:description/>
  <cp:lastModifiedBy>Gautam, Vishal</cp:lastModifiedBy>
  <cp:revision>70</cp:revision>
  <dcterms:created xsi:type="dcterms:W3CDTF">2013-08-26T04:52:53Z</dcterms:created>
  <dcterms:modified xsi:type="dcterms:W3CDTF">2026-02-18T00:32:01Z</dcterms:modified>
  <dc:language>en-US</dc:language>
</cp:coreProperties>
</file>